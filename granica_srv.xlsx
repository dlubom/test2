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rkusz1" sheetId="1" state="visible" r:id="rId3"/>
    <sheet name="granica_DAV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<sst xmlns="http://schemas.openxmlformats.org/spreadsheetml/2006/main" count="584" uniqueCount="20">
  <si>
    <t xml:space="preserve">;DIRECTIVE</t>
  </si>
  <si>
    <t xml:space="preserve">#</t>
  </si>
  <si>
    <t xml:space="preserve">Rechtwert</t>
  </si>
  <si>
    <t xml:space="preserve">Hochwert</t>
  </si>
  <si>
    <t xml:space="preserve">DTM</t>
  </si>
  <si>
    <t xml:space="preserve">#FIX</t>
  </si>
  <si>
    <t xml:space="preserve">Współrzędne fragmentu granicy austiacko-niemieckiej Hagengebirge z SAGIS</t>
  </si>
  <si>
    <t xml:space="preserve">Dane do wstawienia do pliku granica.srv (uwzględniają błąd zbieżności siatki UTM) </t>
  </si>
  <si>
    <t xml:space="preserve">Distance</t>
  </si>
  <si>
    <t xml:space="preserve">Azimuth</t>
  </si>
  <si>
    <t xml:space="preserve">Vertical_angle</t>
  </si>
  <si>
    <t xml:space="preserve">deltaX</t>
  </si>
  <si>
    <t xml:space="preserve">deltaY</t>
  </si>
  <si>
    <t xml:space="preserve">deltaX/deltaY</t>
  </si>
  <si>
    <t xml:space="preserve">Azymut (bez uwzgl. Ćwiartki)</t>
  </si>
  <si>
    <t xml:space="preserve">Azymut (0-360)</t>
  </si>
  <si>
    <t xml:space="preserve">Azymut + grid convergence</t>
  </si>
  <si>
    <t xml:space="preserve">FIX-ed points (FROM)</t>
  </si>
  <si>
    <t xml:space="preserve">Wirtual points (TO)</t>
  </si>
  <si>
    <t xml:space="preserve">Vertical angle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</si>
</sst>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238"/>
    </font>
    <font>
      <sz val="10"/>
      <name val="Times New Roman"/>
      <family val="1"/>
      <charset val="238"/>
    </font>
    <font>
      <sz val="10"/>
      <name val="Liberation Mono;Courier New;DejaVu Sans Mono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false" hidden="false" outlineLevel="0" max="5" min="3" style="2" width="11.53"/>
  </cols>
  <sheetData>
    <row r="1" s="3" customFormat="true" ht="12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customFormat="false" ht="12.8" hidden="false" customHeight="false" outlineLevel="0" collapsed="false">
      <c r="A2" s="6" t="s">
        <v>5</v>
      </c>
      <c r="B2" s="1" t="n">
        <v>1</v>
      </c>
      <c r="C2" s="6" t="n">
        <v>353097.38</v>
      </c>
      <c r="D2" s="2" t="n">
        <v>5268288.77</v>
      </c>
      <c r="E2" s="2" t="n">
        <v>2103.5</v>
      </c>
    </row>
    <row r="3" customFormat="false" ht="12.8" hidden="false" customHeight="false" outlineLevel="0" collapsed="false">
      <c r="A3" s="6" t="s">
        <v>5</v>
      </c>
      <c r="B3" s="1" t="n">
        <v>2</v>
      </c>
      <c r="C3" s="2" t="n">
        <v>352944.16</v>
      </c>
      <c r="D3" s="2" t="n">
        <v>5268231.99</v>
      </c>
      <c r="E3" s="2" t="n">
        <v>2166</v>
      </c>
      <c r="F3" s="6" t="n">
        <f aca="false">B2</f>
        <v>1</v>
      </c>
      <c r="G3" s="7" t="str">
        <f aca="false">_xlfn.CONCAT("X",B3)</f>
        <v>X2</v>
      </c>
      <c r="H3" s="6" t="n">
        <f aca="false">C3-C2</f>
        <v>-153.22000000003</v>
      </c>
      <c r="I3" s="6" t="n">
        <f aca="false">D3-D2</f>
        <v>-56.7799999993295</v>
      </c>
      <c r="J3" s="6" t="n">
        <f aca="false">E3-E2</f>
        <v>62.5</v>
      </c>
    </row>
    <row r="4" customFormat="false" ht="12.8" hidden="false" customHeight="false" outlineLevel="0" collapsed="false">
      <c r="A4" s="6" t="s">
        <v>5</v>
      </c>
      <c r="B4" s="1" t="n">
        <v>3</v>
      </c>
      <c r="C4" s="2" t="n">
        <v>352884.75</v>
      </c>
      <c r="D4" s="2" t="n">
        <v>5268173.13</v>
      </c>
      <c r="E4" s="2" t="n">
        <v>2207.1</v>
      </c>
      <c r="F4" s="6" t="n">
        <f aca="false">B3</f>
        <v>2</v>
      </c>
      <c r="G4" s="7" t="str">
        <f aca="false">_xlfn.CONCAT("X",B4)</f>
        <v>X3</v>
      </c>
      <c r="H4" s="6" t="n">
        <f aca="false">C4-C3</f>
        <v>-59.4099999999744</v>
      </c>
      <c r="I4" s="6" t="n">
        <f aca="false">D4-D3</f>
        <v>-58.8600000003353</v>
      </c>
      <c r="J4" s="6" t="n">
        <f aca="false">E4-E3</f>
        <v>41.0999999999999</v>
      </c>
    </row>
    <row r="5" customFormat="false" ht="12.8" hidden="false" customHeight="false" outlineLevel="0" collapsed="false">
      <c r="A5" s="6" t="s">
        <v>5</v>
      </c>
      <c r="B5" s="1" t="n">
        <v>4</v>
      </c>
      <c r="C5" s="2" t="n">
        <v>352901.94</v>
      </c>
      <c r="D5" s="2" t="n">
        <v>5268026.5</v>
      </c>
      <c r="E5" s="2" t="n">
        <v>2159.2</v>
      </c>
      <c r="F5" s="6" t="n">
        <f aca="false">B4</f>
        <v>3</v>
      </c>
      <c r="G5" s="7" t="str">
        <f aca="false">_xlfn.CONCAT("X",B5)</f>
        <v>X4</v>
      </c>
      <c r="H5" s="6" t="n">
        <f aca="false">C5-C4</f>
        <v>17.1900000000023</v>
      </c>
      <c r="I5" s="6" t="n">
        <f aca="false">D5-D4</f>
        <v>-146.629999999888</v>
      </c>
      <c r="J5" s="6" t="n">
        <f aca="false">E5-E4</f>
        <v>-47.9000000000001</v>
      </c>
    </row>
    <row r="6" customFormat="false" ht="12.8" hidden="false" customHeight="false" outlineLevel="0" collapsed="false">
      <c r="A6" s="6" t="s">
        <v>5</v>
      </c>
      <c r="B6" s="1" t="n">
        <v>5</v>
      </c>
      <c r="C6" s="2" t="n">
        <v>352903.29</v>
      </c>
      <c r="D6" s="2" t="n">
        <v>5267914.87</v>
      </c>
      <c r="E6" s="2" t="n">
        <v>2203.8</v>
      </c>
      <c r="F6" s="6" t="n">
        <f aca="false">B5</f>
        <v>4</v>
      </c>
      <c r="G6" s="7" t="str">
        <f aca="false">_xlfn.CONCAT("X",B6)</f>
        <v>X5</v>
      </c>
      <c r="H6" s="6" t="n">
        <f aca="false">C6-C5</f>
        <v>1.34999999997672</v>
      </c>
      <c r="I6" s="6" t="n">
        <f aca="false">D6-D5</f>
        <v>-111.629999999888</v>
      </c>
      <c r="J6" s="6" t="n">
        <f aca="false">E6-E5</f>
        <v>44.6000000000004</v>
      </c>
    </row>
    <row r="7" customFormat="false" ht="12.8" hidden="false" customHeight="false" outlineLevel="0" collapsed="false">
      <c r="A7" s="6" t="s">
        <v>5</v>
      </c>
      <c r="B7" s="1" t="n">
        <v>6</v>
      </c>
      <c r="C7" s="2" t="n">
        <v>352859.87</v>
      </c>
      <c r="D7" s="2" t="n">
        <v>5267804.01</v>
      </c>
      <c r="E7" s="2" t="n">
        <v>2177.1</v>
      </c>
      <c r="F7" s="6" t="n">
        <f aca="false">B6</f>
        <v>5</v>
      </c>
      <c r="G7" s="7" t="str">
        <f aca="false">_xlfn.CONCAT("X",B7)</f>
        <v>X6</v>
      </c>
      <c r="H7" s="6" t="n">
        <f aca="false">C7-C6</f>
        <v>-43.4199999999837</v>
      </c>
      <c r="I7" s="6" t="n">
        <f aca="false">D7-D6</f>
        <v>-110.860000000335</v>
      </c>
      <c r="J7" s="6" t="n">
        <f aca="false">E7-E6</f>
        <v>-26.7000000000003</v>
      </c>
    </row>
    <row r="8" customFormat="false" ht="12.8" hidden="false" customHeight="false" outlineLevel="0" collapsed="false">
      <c r="A8" s="6" t="s">
        <v>5</v>
      </c>
      <c r="B8" s="1" t="n">
        <v>7</v>
      </c>
      <c r="C8" s="2" t="n">
        <v>352782.3</v>
      </c>
      <c r="D8" s="2" t="n">
        <v>5267704.8</v>
      </c>
      <c r="E8" s="2" t="n">
        <v>2120</v>
      </c>
      <c r="F8" s="6" t="n">
        <f aca="false">B7</f>
        <v>6</v>
      </c>
      <c r="G8" s="7" t="str">
        <f aca="false">_xlfn.CONCAT("X",B8)</f>
        <v>X7</v>
      </c>
      <c r="H8" s="6" t="n">
        <f aca="false">C8-C7</f>
        <v>-77.570000000007</v>
      </c>
      <c r="I8" s="6" t="n">
        <f aca="false">D8-D7</f>
        <v>-99.2099999999628</v>
      </c>
      <c r="J8" s="6" t="n">
        <f aca="false">E8-E7</f>
        <v>-57.0999999999999</v>
      </c>
    </row>
    <row r="9" customFormat="false" ht="12.8" hidden="false" customHeight="false" outlineLevel="0" collapsed="false">
      <c r="A9" s="6" t="s">
        <v>5</v>
      </c>
      <c r="B9" s="1" t="n">
        <v>8</v>
      </c>
      <c r="C9" s="2" t="n">
        <v>352718.31</v>
      </c>
      <c r="D9" s="2" t="n">
        <v>5267689.37</v>
      </c>
      <c r="E9" s="2" t="n">
        <v>2098.1</v>
      </c>
      <c r="F9" s="6" t="n">
        <f aca="false">B8</f>
        <v>7</v>
      </c>
      <c r="G9" s="7" t="str">
        <f aca="false">_xlfn.CONCAT("X",B9)</f>
        <v>X8</v>
      </c>
      <c r="H9" s="6" t="n">
        <f aca="false">C9-C8</f>
        <v>-63.9899999999907</v>
      </c>
      <c r="I9" s="6" t="n">
        <f aca="false">D9-D8</f>
        <v>-15.429999999702</v>
      </c>
      <c r="J9" s="6" t="n">
        <f aca="false">E9-E8</f>
        <v>-21.9000000000001</v>
      </c>
    </row>
    <row r="10" customFormat="false" ht="12.8" hidden="false" customHeight="false" outlineLevel="0" collapsed="false">
      <c r="A10" s="6" t="s">
        <v>5</v>
      </c>
      <c r="B10" s="1" t="n">
        <v>9</v>
      </c>
      <c r="C10" s="2" t="n">
        <v>352670.63</v>
      </c>
      <c r="D10" s="2" t="n">
        <v>5267624.3</v>
      </c>
      <c r="E10" s="2" t="n">
        <v>2124.7</v>
      </c>
      <c r="F10" s="6" t="n">
        <f aca="false">B9</f>
        <v>8</v>
      </c>
      <c r="G10" s="7" t="str">
        <f aca="false">_xlfn.CONCAT("X",B10)</f>
        <v>X9</v>
      </c>
      <c r="H10" s="6" t="n">
        <f aca="false">C10-C9</f>
        <v>-47.679999999993</v>
      </c>
      <c r="I10" s="6" t="n">
        <f aca="false">D10-D9</f>
        <v>-65.070000000298</v>
      </c>
      <c r="J10" s="6" t="n">
        <f aca="false">E10-E9</f>
        <v>26.5999999999999</v>
      </c>
    </row>
    <row r="11" customFormat="false" ht="12.8" hidden="false" customHeight="false" outlineLevel="0" collapsed="false">
      <c r="A11" s="6" t="s">
        <v>5</v>
      </c>
      <c r="B11" s="1" t="n">
        <v>10</v>
      </c>
      <c r="C11" s="2" t="n">
        <v>352597.33</v>
      </c>
      <c r="D11" s="2" t="n">
        <v>5267544.24</v>
      </c>
      <c r="E11" s="2" t="n">
        <v>2131.4</v>
      </c>
      <c r="F11" s="6" t="n">
        <f aca="false">B10</f>
        <v>9</v>
      </c>
      <c r="G11" s="7" t="str">
        <f aca="false">_xlfn.CONCAT("X",B11)</f>
        <v>X10</v>
      </c>
      <c r="H11" s="6" t="n">
        <f aca="false">C11-C10</f>
        <v>-73.2999999999884</v>
      </c>
      <c r="I11" s="6" t="n">
        <f aca="false">D11-D10</f>
        <v>-80.0599999995902</v>
      </c>
      <c r="J11" s="6" t="n">
        <f aca="false">E11-E10</f>
        <v>6.70000000000027</v>
      </c>
    </row>
    <row r="12" customFormat="false" ht="12.8" hidden="false" customHeight="false" outlineLevel="0" collapsed="false">
      <c r="A12" s="6" t="s">
        <v>5</v>
      </c>
      <c r="B12" s="1" t="n">
        <v>11</v>
      </c>
      <c r="C12" s="2" t="n">
        <v>352296.08</v>
      </c>
      <c r="D12" s="2" t="n">
        <v>5267359.06</v>
      </c>
      <c r="E12" s="2" t="n">
        <v>2077.1</v>
      </c>
      <c r="F12" s="6" t="n">
        <f aca="false">B11</f>
        <v>10</v>
      </c>
      <c r="G12" s="7" t="str">
        <f aca="false">_xlfn.CONCAT("X",B12)</f>
        <v>X11</v>
      </c>
      <c r="H12" s="6" t="n">
        <f aca="false">C12-C11</f>
        <v>-301.25</v>
      </c>
      <c r="I12" s="6" t="n">
        <f aca="false">D12-D11</f>
        <v>-185.180000000633</v>
      </c>
      <c r="J12" s="6" t="n">
        <f aca="false">E12-E11</f>
        <v>-54.3000000000002</v>
      </c>
    </row>
    <row r="13" customFormat="false" ht="12.8" hidden="false" customHeight="false" outlineLevel="0" collapsed="false">
      <c r="A13" s="6" t="s">
        <v>5</v>
      </c>
      <c r="B13" s="1" t="n">
        <v>12</v>
      </c>
      <c r="C13" s="2" t="n">
        <v>352259.67</v>
      </c>
      <c r="D13" s="2" t="n">
        <v>5267271.25</v>
      </c>
      <c r="E13" s="2" t="n">
        <v>2107.7</v>
      </c>
      <c r="F13" s="6" t="n">
        <f aca="false">B12</f>
        <v>11</v>
      </c>
      <c r="G13" s="7" t="str">
        <f aca="false">_xlfn.CONCAT("X",B13)</f>
        <v>X12</v>
      </c>
      <c r="H13" s="6" t="n">
        <f aca="false">C13-C12</f>
        <v>-36.4100000000326</v>
      </c>
      <c r="I13" s="6" t="n">
        <f aca="false">D13-D12</f>
        <v>-87.8099999995902</v>
      </c>
      <c r="J13" s="6" t="n">
        <f aca="false">E13-E12</f>
        <v>30.5999999999999</v>
      </c>
    </row>
    <row r="14" customFormat="false" ht="12.8" hidden="false" customHeight="false" outlineLevel="0" collapsed="false">
      <c r="A14" s="6" t="s">
        <v>5</v>
      </c>
      <c r="B14" s="1" t="n">
        <v>13</v>
      </c>
      <c r="C14" s="2" t="n">
        <v>352362.31</v>
      </c>
      <c r="D14" s="2" t="n">
        <v>5267165.8</v>
      </c>
      <c r="E14" s="2" t="n">
        <v>2094.4</v>
      </c>
      <c r="F14" s="6" t="n">
        <f aca="false">B13</f>
        <v>12</v>
      </c>
      <c r="G14" s="7" t="str">
        <f aca="false">_xlfn.CONCAT("X",B14)</f>
        <v>X13</v>
      </c>
      <c r="H14" s="6" t="n">
        <f aca="false">C14-C13</f>
        <v>102.640000000014</v>
      </c>
      <c r="I14" s="6" t="n">
        <f aca="false">D14-D13</f>
        <v>-105.450000000186</v>
      </c>
      <c r="J14" s="6" t="n">
        <f aca="false">E14-E13</f>
        <v>-13.2999999999997</v>
      </c>
    </row>
    <row r="15" customFormat="false" ht="12.8" hidden="false" customHeight="false" outlineLevel="0" collapsed="false">
      <c r="A15" s="6" t="s">
        <v>5</v>
      </c>
      <c r="B15" s="1" t="n">
        <v>14</v>
      </c>
      <c r="C15" s="2" t="n">
        <v>352285.92</v>
      </c>
      <c r="D15" s="2" t="n">
        <v>5267115.27</v>
      </c>
      <c r="E15" s="2" t="n">
        <v>2072.8</v>
      </c>
      <c r="F15" s="6" t="n">
        <f aca="false">B14</f>
        <v>13</v>
      </c>
      <c r="G15" s="7" t="str">
        <f aca="false">_xlfn.CONCAT("X",B15)</f>
        <v>X14</v>
      </c>
      <c r="H15" s="6" t="n">
        <f aca="false">C15-C14</f>
        <v>-76.390000000014</v>
      </c>
      <c r="I15" s="6" t="n">
        <f aca="false">D15-D14</f>
        <v>-50.5300000002608</v>
      </c>
      <c r="J15" s="6" t="n">
        <f aca="false">E15-E14</f>
        <v>-21.5999999999999</v>
      </c>
    </row>
    <row r="16" customFormat="false" ht="12.8" hidden="false" customHeight="false" outlineLevel="0" collapsed="false">
      <c r="A16" s="6" t="s">
        <v>5</v>
      </c>
      <c r="B16" s="1" t="n">
        <v>15</v>
      </c>
      <c r="C16" s="2" t="n">
        <v>352272.35</v>
      </c>
      <c r="D16" s="2" t="n">
        <v>5267023.71</v>
      </c>
      <c r="E16" s="2" t="n">
        <v>2002.4</v>
      </c>
      <c r="F16" s="6" t="n">
        <f aca="false">B15</f>
        <v>14</v>
      </c>
      <c r="G16" s="7" t="str">
        <f aca="false">_xlfn.CONCAT("X",B16)</f>
        <v>X15</v>
      </c>
      <c r="H16" s="6" t="n">
        <f aca="false">C16-C15</f>
        <v>-13.570000000007</v>
      </c>
      <c r="I16" s="6" t="n">
        <f aca="false">D16-D15</f>
        <v>-91.5599999995902</v>
      </c>
      <c r="J16" s="6" t="n">
        <f aca="false">E16-E15</f>
        <v>-70.4000000000001</v>
      </c>
    </row>
    <row r="17" customFormat="false" ht="12.8" hidden="false" customHeight="false" outlineLevel="0" collapsed="false">
      <c r="A17" s="6" t="s">
        <v>5</v>
      </c>
      <c r="B17" s="1" t="n">
        <v>16</v>
      </c>
      <c r="C17" s="2" t="n">
        <v>352249.12</v>
      </c>
      <c r="D17" s="2" t="n">
        <v>5266983.06</v>
      </c>
      <c r="E17" s="2" t="n">
        <v>2005.4</v>
      </c>
      <c r="F17" s="6" t="n">
        <f aca="false">B16</f>
        <v>15</v>
      </c>
      <c r="G17" s="7" t="str">
        <f aca="false">_xlfn.CONCAT("X",B17)</f>
        <v>X16</v>
      </c>
      <c r="H17" s="6" t="n">
        <f aca="false">C17-C16</f>
        <v>-23.2299999999814</v>
      </c>
      <c r="I17" s="6" t="n">
        <f aca="false">D17-D16</f>
        <v>-40.6500000003725</v>
      </c>
      <c r="J17" s="6" t="n">
        <f aca="false">E17-E16</f>
        <v>3</v>
      </c>
    </row>
    <row r="18" customFormat="false" ht="12.8" hidden="false" customHeight="false" outlineLevel="0" collapsed="false">
      <c r="A18" s="6" t="s">
        <v>5</v>
      </c>
      <c r="B18" s="1" t="n">
        <v>17</v>
      </c>
      <c r="C18" s="2" t="n">
        <v>352195.16</v>
      </c>
      <c r="D18" s="2" t="n">
        <v>5266943.93</v>
      </c>
      <c r="E18" s="2" t="n">
        <v>2003</v>
      </c>
      <c r="F18" s="6" t="n">
        <f aca="false">B17</f>
        <v>16</v>
      </c>
      <c r="G18" s="7" t="str">
        <f aca="false">_xlfn.CONCAT("X",B18)</f>
        <v>X17</v>
      </c>
      <c r="H18" s="6" t="n">
        <f aca="false">C18-C17</f>
        <v>-53.960000000021</v>
      </c>
      <c r="I18" s="6" t="n">
        <f aca="false">D18-D17</f>
        <v>-39.1299999998882</v>
      </c>
      <c r="J18" s="6" t="n">
        <f aca="false">E18-E17</f>
        <v>-2.40000000000009</v>
      </c>
    </row>
    <row r="19" customFormat="false" ht="12.8" hidden="false" customHeight="false" outlineLevel="0" collapsed="false">
      <c r="A19" s="6" t="s">
        <v>5</v>
      </c>
      <c r="B19" s="1" t="n">
        <v>18</v>
      </c>
      <c r="C19" s="2" t="n">
        <v>352113.02</v>
      </c>
      <c r="D19" s="2" t="n">
        <v>5266923.13</v>
      </c>
      <c r="E19" s="2" t="n">
        <v>2007.7</v>
      </c>
      <c r="F19" s="6" t="n">
        <f aca="false">B18</f>
        <v>17</v>
      </c>
      <c r="G19" s="7" t="str">
        <f aca="false">_xlfn.CONCAT("X",B19)</f>
        <v>X18</v>
      </c>
      <c r="H19" s="6" t="n">
        <f aca="false">C19-C18</f>
        <v>-82.1399999999558</v>
      </c>
      <c r="I19" s="6" t="n">
        <f aca="false">D19-D18</f>
        <v>-20.7999999998137</v>
      </c>
      <c r="J19" s="6" t="n">
        <f aca="false">E19-E18</f>
        <v>4.70000000000005</v>
      </c>
    </row>
    <row r="20" customFormat="false" ht="12.8" hidden="false" customHeight="false" outlineLevel="0" collapsed="false">
      <c r="A20" s="6" t="s">
        <v>5</v>
      </c>
      <c r="B20" s="1" t="n">
        <v>19</v>
      </c>
      <c r="C20" s="2" t="n">
        <v>352043.09</v>
      </c>
      <c r="D20" s="2" t="n">
        <v>5266666.64</v>
      </c>
      <c r="E20" s="2" t="n">
        <v>2031.2</v>
      </c>
      <c r="F20" s="6" t="n">
        <f aca="false">B19</f>
        <v>18</v>
      </c>
      <c r="G20" s="7" t="str">
        <f aca="false">_xlfn.CONCAT("X",B20)</f>
        <v>X19</v>
      </c>
      <c r="H20" s="6" t="n">
        <f aca="false">C20-C19</f>
        <v>-69.929999999993</v>
      </c>
      <c r="I20" s="6" t="n">
        <f aca="false">D20-D19</f>
        <v>-256.490000000224</v>
      </c>
      <c r="J20" s="6" t="n">
        <f aca="false">E20-E19</f>
        <v>23.5</v>
      </c>
    </row>
    <row r="21" customFormat="false" ht="12.8" hidden="false" customHeight="false" outlineLevel="0" collapsed="false">
      <c r="A21" s="6" t="s">
        <v>5</v>
      </c>
      <c r="B21" s="1" t="n">
        <v>20</v>
      </c>
      <c r="C21" s="2" t="n">
        <v>351863.17</v>
      </c>
      <c r="D21" s="2" t="n">
        <v>5266556.05</v>
      </c>
      <c r="E21" s="2" t="n">
        <v>2017.7</v>
      </c>
      <c r="F21" s="6" t="n">
        <f aca="false">B20</f>
        <v>19</v>
      </c>
      <c r="G21" s="7" t="str">
        <f aca="false">_xlfn.CONCAT("X",B21)</f>
        <v>X20</v>
      </c>
      <c r="H21" s="6" t="n">
        <f aca="false">C21-C20</f>
        <v>-179.920000000042</v>
      </c>
      <c r="I21" s="6" t="n">
        <f aca="false">D21-D20</f>
        <v>-110.589999999851</v>
      </c>
      <c r="J21" s="6" t="n">
        <f aca="false">E21-E20</f>
        <v>-13.5</v>
      </c>
    </row>
    <row r="22" customFormat="false" ht="12.8" hidden="false" customHeight="false" outlineLevel="0" collapsed="false">
      <c r="A22" s="6" t="s">
        <v>5</v>
      </c>
      <c r="B22" s="1" t="n">
        <v>21</v>
      </c>
      <c r="C22" s="2" t="n">
        <v>351846.04</v>
      </c>
      <c r="D22" s="2" t="n">
        <v>5266514.61</v>
      </c>
      <c r="E22" s="2" t="n">
        <v>2070.6</v>
      </c>
      <c r="F22" s="6" t="n">
        <f aca="false">B21</f>
        <v>20</v>
      </c>
      <c r="G22" s="7" t="str">
        <f aca="false">_xlfn.CONCAT("X",B22)</f>
        <v>X21</v>
      </c>
      <c r="H22" s="6" t="n">
        <f aca="false">C22-C21</f>
        <v>-17.1300000000047</v>
      </c>
      <c r="I22" s="6" t="n">
        <f aca="false">D22-D21</f>
        <v>-41.4399999994785</v>
      </c>
      <c r="J22" s="6" t="n">
        <f aca="false">E22-E21</f>
        <v>52.8999999999999</v>
      </c>
    </row>
    <row r="23" customFormat="false" ht="12.8" hidden="false" customHeight="false" outlineLevel="0" collapsed="false">
      <c r="A23" s="6" t="s">
        <v>5</v>
      </c>
      <c r="B23" s="1" t="n">
        <v>22</v>
      </c>
      <c r="C23" s="2" t="n">
        <v>351840.96</v>
      </c>
      <c r="D23" s="2" t="n">
        <v>5266498.71</v>
      </c>
      <c r="E23" s="2" t="n">
        <v>2093.4</v>
      </c>
      <c r="F23" s="6" t="n">
        <f aca="false">B22</f>
        <v>21</v>
      </c>
      <c r="G23" s="7" t="str">
        <f aca="false">_xlfn.CONCAT("X",B23)</f>
        <v>X22</v>
      </c>
      <c r="H23" s="6" t="n">
        <f aca="false">C23-C22</f>
        <v>-5.07999999995809</v>
      </c>
      <c r="I23" s="6" t="n">
        <f aca="false">D23-D22</f>
        <v>-15.9000000003725</v>
      </c>
      <c r="J23" s="6" t="n">
        <f aca="false">E23-E22</f>
        <v>22.8000000000002</v>
      </c>
    </row>
    <row r="24" customFormat="false" ht="12.8" hidden="false" customHeight="false" outlineLevel="0" collapsed="false">
      <c r="A24" s="6" t="s">
        <v>5</v>
      </c>
      <c r="B24" s="1" t="n">
        <v>23</v>
      </c>
      <c r="C24" s="2" t="n">
        <v>351840.66</v>
      </c>
      <c r="D24" s="2" t="n">
        <v>5266497.2</v>
      </c>
      <c r="E24" s="2" t="n">
        <v>2094.5</v>
      </c>
      <c r="F24" s="6" t="n">
        <f aca="false">B23</f>
        <v>22</v>
      </c>
      <c r="G24" s="7" t="str">
        <f aca="false">_xlfn.CONCAT("X",B24)</f>
        <v>X23</v>
      </c>
      <c r="H24" s="6" t="n">
        <f aca="false">C24-C23</f>
        <v>-0.300000000046566</v>
      </c>
      <c r="I24" s="6" t="n">
        <f aca="false">D24-D23</f>
        <v>-1.50999999977648</v>
      </c>
      <c r="J24" s="6" t="n">
        <f aca="false">E24-E23</f>
        <v>1.09999999999991</v>
      </c>
    </row>
    <row r="25" customFormat="false" ht="12.8" hidden="false" customHeight="false" outlineLevel="0" collapsed="false">
      <c r="A25" s="6" t="s">
        <v>5</v>
      </c>
      <c r="B25" s="1" t="n">
        <v>24</v>
      </c>
      <c r="C25" s="2" t="n">
        <v>351840.11</v>
      </c>
      <c r="D25" s="2" t="n">
        <v>5266496.15</v>
      </c>
      <c r="E25" s="2" t="n">
        <v>2095.5</v>
      </c>
      <c r="F25" s="6" t="n">
        <f aca="false">B24</f>
        <v>23</v>
      </c>
      <c r="G25" s="7" t="str">
        <f aca="false">_xlfn.CONCAT("X",B25)</f>
        <v>X24</v>
      </c>
      <c r="H25" s="6" t="n">
        <f aca="false">C25-C24</f>
        <v>-0.549999999988359</v>
      </c>
      <c r="I25" s="6" t="n">
        <f aca="false">D25-D24</f>
        <v>-1.04999999981374</v>
      </c>
      <c r="J25" s="6" t="n">
        <f aca="false">E25-E24</f>
        <v>1</v>
      </c>
    </row>
    <row r="26" customFormat="false" ht="12.8" hidden="false" customHeight="false" outlineLevel="0" collapsed="false">
      <c r="A26" s="6" t="s">
        <v>5</v>
      </c>
      <c r="B26" s="1" t="n">
        <v>25</v>
      </c>
      <c r="C26" s="2" t="n">
        <v>351836.17</v>
      </c>
      <c r="D26" s="2" t="n">
        <v>5266491.27</v>
      </c>
      <c r="E26" s="2" t="n">
        <v>2100.4</v>
      </c>
      <c r="F26" s="6" t="n">
        <f aca="false">B25</f>
        <v>24</v>
      </c>
      <c r="G26" s="7" t="str">
        <f aca="false">_xlfn.CONCAT("X",B26)</f>
        <v>X25</v>
      </c>
      <c r="H26" s="6" t="n">
        <f aca="false">C26-C25</f>
        <v>-3.94000000000233</v>
      </c>
      <c r="I26" s="6" t="n">
        <f aca="false">D26-D25</f>
        <v>-4.88000000081956</v>
      </c>
      <c r="J26" s="6" t="n">
        <f aca="false">E26-E25</f>
        <v>4.90000000000009</v>
      </c>
    </row>
    <row r="27" customFormat="false" ht="12.8" hidden="false" customHeight="false" outlineLevel="0" collapsed="false">
      <c r="A27" s="6" t="s">
        <v>5</v>
      </c>
      <c r="B27" s="1" t="n">
        <v>26</v>
      </c>
      <c r="C27" s="2" t="n">
        <v>351834.52</v>
      </c>
      <c r="D27" s="2" t="n">
        <v>5266488.59</v>
      </c>
      <c r="E27" s="2" t="n">
        <v>2102.4</v>
      </c>
      <c r="F27" s="6" t="n">
        <f aca="false">B26</f>
        <v>25</v>
      </c>
      <c r="G27" s="7" t="str">
        <f aca="false">_xlfn.CONCAT("X",B27)</f>
        <v>X26</v>
      </c>
      <c r="H27" s="6" t="n">
        <f aca="false">C27-C26</f>
        <v>-1.64999999996508</v>
      </c>
      <c r="I27" s="6" t="n">
        <f aca="false">D27-D26</f>
        <v>-2.67999999970198</v>
      </c>
      <c r="J27" s="6" t="n">
        <f aca="false">E27-E26</f>
        <v>2</v>
      </c>
    </row>
    <row r="28" customFormat="false" ht="12.8" hidden="false" customHeight="false" outlineLevel="0" collapsed="false">
      <c r="A28" s="6" t="s">
        <v>5</v>
      </c>
      <c r="B28" s="1" t="n">
        <v>27</v>
      </c>
      <c r="C28" s="2" t="n">
        <v>351832.37</v>
      </c>
      <c r="D28" s="2" t="n">
        <v>5266484.14</v>
      </c>
      <c r="E28" s="2" t="n">
        <v>2108.1</v>
      </c>
      <c r="F28" s="6" t="n">
        <f aca="false">B27</f>
        <v>26</v>
      </c>
      <c r="G28" s="7" t="str">
        <f aca="false">_xlfn.CONCAT("X",B28)</f>
        <v>X27</v>
      </c>
      <c r="H28" s="6" t="n">
        <f aca="false">C28-C27</f>
        <v>-2.15000000002328</v>
      </c>
      <c r="I28" s="6" t="n">
        <f aca="false">D28-D27</f>
        <v>-4.45000000018626</v>
      </c>
      <c r="J28" s="6" t="n">
        <f aca="false">E28-E27</f>
        <v>5.69999999999982</v>
      </c>
    </row>
    <row r="29" customFormat="false" ht="12.8" hidden="false" customHeight="false" outlineLevel="0" collapsed="false">
      <c r="A29" s="6" t="s">
        <v>5</v>
      </c>
      <c r="B29" s="1" t="n">
        <v>28</v>
      </c>
      <c r="C29" s="2" t="n">
        <v>351831.29</v>
      </c>
      <c r="D29" s="2" t="n">
        <v>5266480</v>
      </c>
      <c r="E29" s="2" t="n">
        <v>2111.5</v>
      </c>
      <c r="F29" s="6" t="n">
        <f aca="false">B28</f>
        <v>27</v>
      </c>
      <c r="G29" s="7" t="str">
        <f aca="false">_xlfn.CONCAT("X",B29)</f>
        <v>X28</v>
      </c>
      <c r="H29" s="6" t="n">
        <f aca="false">C29-C28</f>
        <v>-1.0800000000163</v>
      </c>
      <c r="I29" s="6" t="n">
        <f aca="false">D29-D28</f>
        <v>-4.13999999966472</v>
      </c>
      <c r="J29" s="6" t="n">
        <f aca="false">E29-E28</f>
        <v>3.40000000000009</v>
      </c>
    </row>
    <row r="30" customFormat="false" ht="12.8" hidden="false" customHeight="false" outlineLevel="0" collapsed="false">
      <c r="A30" s="6" t="s">
        <v>5</v>
      </c>
      <c r="B30" s="1" t="n">
        <v>29</v>
      </c>
      <c r="C30" s="2" t="n">
        <v>351829.82</v>
      </c>
      <c r="D30" s="2" t="n">
        <v>5266472.89</v>
      </c>
      <c r="E30" s="2" t="n">
        <v>2119</v>
      </c>
      <c r="F30" s="6" t="n">
        <f aca="false">B29</f>
        <v>28</v>
      </c>
      <c r="G30" s="7" t="str">
        <f aca="false">_xlfn.CONCAT("X",B30)</f>
        <v>X29</v>
      </c>
      <c r="H30" s="6" t="n">
        <f aca="false">C30-C29</f>
        <v>-1.46999999997206</v>
      </c>
      <c r="I30" s="6" t="n">
        <f aca="false">D30-D29</f>
        <v>-7.11000000033528</v>
      </c>
      <c r="J30" s="6" t="n">
        <f aca="false">E30-E29</f>
        <v>7.5</v>
      </c>
    </row>
    <row r="31" customFormat="false" ht="12.8" hidden="false" customHeight="false" outlineLevel="0" collapsed="false">
      <c r="A31" s="6" t="s">
        <v>5</v>
      </c>
      <c r="B31" s="1" t="n">
        <v>30</v>
      </c>
      <c r="C31" s="2" t="n">
        <v>351828.92</v>
      </c>
      <c r="D31" s="2" t="n">
        <v>5266464.9</v>
      </c>
      <c r="E31" s="2" t="n">
        <v>2122</v>
      </c>
      <c r="F31" s="6" t="n">
        <f aca="false">B30</f>
        <v>29</v>
      </c>
      <c r="G31" s="7" t="str">
        <f aca="false">_xlfn.CONCAT("X",B31)</f>
        <v>X30</v>
      </c>
      <c r="H31" s="6" t="n">
        <f aca="false">C31-C30</f>
        <v>-0.900000000023283</v>
      </c>
      <c r="I31" s="6" t="n">
        <f aca="false">D31-D30</f>
        <v>-7.9899999992922</v>
      </c>
      <c r="J31" s="6" t="n">
        <f aca="false">E31-E30</f>
        <v>3</v>
      </c>
    </row>
    <row r="32" customFormat="false" ht="12.8" hidden="false" customHeight="false" outlineLevel="0" collapsed="false">
      <c r="A32" s="6" t="s">
        <v>5</v>
      </c>
      <c r="B32" s="1" t="n">
        <v>31</v>
      </c>
      <c r="C32" s="2" t="n">
        <v>351827.93</v>
      </c>
      <c r="D32" s="2" t="n">
        <v>5266452.82</v>
      </c>
      <c r="E32" s="2" t="n">
        <v>2134.4</v>
      </c>
      <c r="F32" s="6" t="n">
        <f aca="false">B31</f>
        <v>30</v>
      </c>
      <c r="G32" s="7" t="str">
        <f aca="false">_xlfn.CONCAT("X",B32)</f>
        <v>X31</v>
      </c>
      <c r="H32" s="6" t="n">
        <f aca="false">C32-C31</f>
        <v>-0.989999999990687</v>
      </c>
      <c r="I32" s="6" t="n">
        <f aca="false">D32-D31</f>
        <v>-12.0800000000745</v>
      </c>
      <c r="J32" s="6" t="n">
        <f aca="false">E32-E31</f>
        <v>12.4000000000001</v>
      </c>
    </row>
    <row r="33" customFormat="false" ht="12.8" hidden="false" customHeight="false" outlineLevel="0" collapsed="false">
      <c r="A33" s="6" t="s">
        <v>5</v>
      </c>
      <c r="B33" s="1" t="n">
        <v>32</v>
      </c>
      <c r="C33" s="2" t="n">
        <v>351826.22</v>
      </c>
      <c r="D33" s="2" t="n">
        <v>5266446.96</v>
      </c>
      <c r="E33" s="2" t="n">
        <v>2135.4</v>
      </c>
      <c r="F33" s="6" t="n">
        <f aca="false">B32</f>
        <v>31</v>
      </c>
      <c r="G33" s="7" t="str">
        <f aca="false">_xlfn.CONCAT("X",B33)</f>
        <v>X32</v>
      </c>
      <c r="H33" s="6" t="n">
        <f aca="false">C33-C32</f>
        <v>-1.71000000002095</v>
      </c>
      <c r="I33" s="6" t="n">
        <f aca="false">D33-D32</f>
        <v>-5.86000000033528</v>
      </c>
      <c r="J33" s="6" t="n">
        <f aca="false">E33-E32</f>
        <v>1</v>
      </c>
    </row>
    <row r="34" customFormat="false" ht="12.8" hidden="false" customHeight="false" outlineLevel="0" collapsed="false">
      <c r="A34" s="6" t="s">
        <v>5</v>
      </c>
      <c r="B34" s="1" t="n">
        <v>33</v>
      </c>
      <c r="C34" s="2" t="n">
        <v>351821.67</v>
      </c>
      <c r="D34" s="2" t="n">
        <v>5266438.46</v>
      </c>
      <c r="E34" s="2" t="n">
        <v>2144</v>
      </c>
      <c r="F34" s="6" t="n">
        <f aca="false">B33</f>
        <v>32</v>
      </c>
      <c r="G34" s="7" t="str">
        <f aca="false">_xlfn.CONCAT("X",B34)</f>
        <v>X33</v>
      </c>
      <c r="H34" s="6" t="n">
        <f aca="false">C34-C33</f>
        <v>-4.54999999998836</v>
      </c>
      <c r="I34" s="6" t="n">
        <f aca="false">D34-D33</f>
        <v>-8.5</v>
      </c>
      <c r="J34" s="6" t="n">
        <f aca="false">E34-E33</f>
        <v>8.59999999999991</v>
      </c>
    </row>
    <row r="35" customFormat="false" ht="12.8" hidden="false" customHeight="false" outlineLevel="0" collapsed="false">
      <c r="A35" s="6" t="s">
        <v>5</v>
      </c>
      <c r="B35" s="1" t="n">
        <v>34</v>
      </c>
      <c r="C35" s="2" t="n">
        <v>351820.42</v>
      </c>
      <c r="D35" s="2" t="n">
        <v>5266435.84</v>
      </c>
      <c r="E35" s="2" t="n">
        <v>2145.4</v>
      </c>
      <c r="F35" s="6" t="n">
        <f aca="false">B34</f>
        <v>33</v>
      </c>
      <c r="G35" s="7" t="str">
        <f aca="false">_xlfn.CONCAT("X",B35)</f>
        <v>X34</v>
      </c>
      <c r="H35" s="6" t="n">
        <f aca="false">C35-C34</f>
        <v>-1.25</v>
      </c>
      <c r="I35" s="6" t="n">
        <f aca="false">D35-D34</f>
        <v>-2.62000000011176</v>
      </c>
      <c r="J35" s="6" t="n">
        <f aca="false">E35-E34</f>
        <v>1.40000000000009</v>
      </c>
    </row>
    <row r="36" customFormat="false" ht="12.8" hidden="false" customHeight="false" outlineLevel="0" collapsed="false">
      <c r="A36" s="6" t="s">
        <v>5</v>
      </c>
      <c r="B36" s="1" t="n">
        <v>35</v>
      </c>
      <c r="C36" s="2" t="n">
        <v>351819.71</v>
      </c>
      <c r="D36" s="2" t="n">
        <v>5266433.68</v>
      </c>
      <c r="E36" s="2" t="n">
        <v>2147.8</v>
      </c>
      <c r="F36" s="6" t="n">
        <f aca="false">B35</f>
        <v>34</v>
      </c>
      <c r="G36" s="7" t="str">
        <f aca="false">_xlfn.CONCAT("X",B36)</f>
        <v>X35</v>
      </c>
      <c r="H36" s="6" t="n">
        <f aca="false">C36-C35</f>
        <v>-0.709999999962747</v>
      </c>
      <c r="I36" s="6" t="n">
        <f aca="false">D36-D35</f>
        <v>-2.16000000014901</v>
      </c>
      <c r="J36" s="6" t="n">
        <f aca="false">E36-E35</f>
        <v>2.40000000000009</v>
      </c>
    </row>
    <row r="37" customFormat="false" ht="12.8" hidden="false" customHeight="false" outlineLevel="0" collapsed="false">
      <c r="A37" s="6" t="s">
        <v>5</v>
      </c>
      <c r="B37" s="1" t="n">
        <v>36</v>
      </c>
      <c r="C37" s="2" t="n">
        <v>351819.2</v>
      </c>
      <c r="D37" s="2" t="n">
        <v>5266431.11</v>
      </c>
      <c r="E37" s="2" t="n">
        <v>2150.8</v>
      </c>
      <c r="F37" s="6" t="n">
        <f aca="false">B36</f>
        <v>35</v>
      </c>
      <c r="G37" s="7" t="str">
        <f aca="false">_xlfn.CONCAT("X",B37)</f>
        <v>X36</v>
      </c>
      <c r="H37" s="6" t="n">
        <f aca="false">C37-C36</f>
        <v>-0.510000000009313</v>
      </c>
      <c r="I37" s="6" t="n">
        <f aca="false">D37-D36</f>
        <v>-2.5699999993667</v>
      </c>
      <c r="J37" s="6" t="n">
        <f aca="false">E37-E36</f>
        <v>3</v>
      </c>
    </row>
    <row r="38" customFormat="false" ht="12.8" hidden="false" customHeight="false" outlineLevel="0" collapsed="false">
      <c r="A38" s="6" t="s">
        <v>5</v>
      </c>
      <c r="B38" s="1" t="n">
        <v>37</v>
      </c>
      <c r="C38" s="2" t="n">
        <v>351818.85</v>
      </c>
      <c r="D38" s="2" t="n">
        <v>5266427.34</v>
      </c>
      <c r="E38" s="2" t="n">
        <v>2154.8</v>
      </c>
      <c r="F38" s="6" t="n">
        <f aca="false">B37</f>
        <v>36</v>
      </c>
      <c r="G38" s="7" t="str">
        <f aca="false">_xlfn.CONCAT("X",B38)</f>
        <v>X37</v>
      </c>
      <c r="H38" s="6" t="n">
        <f aca="false">C38-C37</f>
        <v>-0.350000000034925</v>
      </c>
      <c r="I38" s="6" t="n">
        <f aca="false">D38-D37</f>
        <v>-3.77000000048429</v>
      </c>
      <c r="J38" s="6" t="n">
        <f aca="false">E38-E37</f>
        <v>4</v>
      </c>
    </row>
    <row r="39" customFormat="false" ht="12.8" hidden="false" customHeight="false" outlineLevel="0" collapsed="false">
      <c r="A39" s="6" t="s">
        <v>5</v>
      </c>
      <c r="B39" s="1" t="n">
        <v>38</v>
      </c>
      <c r="C39" s="2" t="n">
        <v>351818.69</v>
      </c>
      <c r="D39" s="2" t="n">
        <v>5266422.98</v>
      </c>
      <c r="E39" s="2" t="n">
        <v>2158.2</v>
      </c>
      <c r="F39" s="6" t="n">
        <f aca="false">B38</f>
        <v>37</v>
      </c>
      <c r="G39" s="7" t="str">
        <f aca="false">_xlfn.CONCAT("X",B39)</f>
        <v>X38</v>
      </c>
      <c r="H39" s="6" t="n">
        <f aca="false">C39-C38</f>
        <v>-0.159999999974389</v>
      </c>
      <c r="I39" s="6" t="n">
        <f aca="false">D39-D38</f>
        <v>-4.35999999940395</v>
      </c>
      <c r="J39" s="6" t="n">
        <f aca="false">E39-E38</f>
        <v>3.39999999999964</v>
      </c>
    </row>
    <row r="40" customFormat="false" ht="12.8" hidden="false" customHeight="false" outlineLevel="0" collapsed="false">
      <c r="A40" s="6" t="s">
        <v>5</v>
      </c>
      <c r="B40" s="1" t="n">
        <v>39</v>
      </c>
      <c r="C40" s="2" t="n">
        <v>351818.2</v>
      </c>
      <c r="D40" s="2" t="n">
        <v>5266421.67</v>
      </c>
      <c r="E40" s="2" t="n">
        <v>2158.9</v>
      </c>
      <c r="F40" s="6" t="n">
        <f aca="false">B39</f>
        <v>38</v>
      </c>
      <c r="G40" s="7" t="str">
        <f aca="false">_xlfn.CONCAT("X",B40)</f>
        <v>X39</v>
      </c>
      <c r="H40" s="6" t="n">
        <f aca="false">C40-C39</f>
        <v>-0.489999999990687</v>
      </c>
      <c r="I40" s="6" t="n">
        <f aca="false">D40-D39</f>
        <v>-1.31000000052154</v>
      </c>
      <c r="J40" s="6" t="n">
        <f aca="false">E40-E39</f>
        <v>0.700000000000273</v>
      </c>
    </row>
    <row r="41" customFormat="false" ht="12.8" hidden="false" customHeight="false" outlineLevel="0" collapsed="false">
      <c r="A41" s="6" t="s">
        <v>5</v>
      </c>
      <c r="B41" s="1" t="n">
        <v>40</v>
      </c>
      <c r="C41" s="2" t="n">
        <v>351815.73</v>
      </c>
      <c r="D41" s="2" t="n">
        <v>5266417.69</v>
      </c>
      <c r="E41" s="2" t="n">
        <v>2160.8</v>
      </c>
      <c r="F41" s="6" t="n">
        <f aca="false">B40</f>
        <v>39</v>
      </c>
      <c r="G41" s="7" t="str">
        <f aca="false">_xlfn.CONCAT("X",B41)</f>
        <v>X40</v>
      </c>
      <c r="H41" s="6" t="n">
        <f aca="false">C41-C40</f>
        <v>-2.47000000003027</v>
      </c>
      <c r="I41" s="6" t="n">
        <f aca="false">D41-D40</f>
        <v>-3.97999999951571</v>
      </c>
      <c r="J41" s="6" t="n">
        <f aca="false">E41-E40</f>
        <v>1.90000000000009</v>
      </c>
    </row>
    <row r="42" customFormat="false" ht="12.8" hidden="false" customHeight="false" outlineLevel="0" collapsed="false">
      <c r="A42" s="6" t="s">
        <v>5</v>
      </c>
      <c r="B42" s="1" t="n">
        <v>41</v>
      </c>
      <c r="C42" s="2" t="n">
        <v>351814.49</v>
      </c>
      <c r="D42" s="2" t="n">
        <v>5266415.13</v>
      </c>
      <c r="E42" s="2" t="n">
        <v>2162.6</v>
      </c>
      <c r="F42" s="6" t="n">
        <f aca="false">B41</f>
        <v>40</v>
      </c>
      <c r="G42" s="7" t="str">
        <f aca="false">_xlfn.CONCAT("X",B42)</f>
        <v>X41</v>
      </c>
      <c r="H42" s="6" t="n">
        <f aca="false">C42-C41</f>
        <v>-1.23999999999069</v>
      </c>
      <c r="I42" s="6" t="n">
        <f aca="false">D42-D41</f>
        <v>-2.56000000052154</v>
      </c>
      <c r="J42" s="6" t="n">
        <f aca="false">E42-E41</f>
        <v>1.79999999999973</v>
      </c>
    </row>
    <row r="43" customFormat="false" ht="12.8" hidden="false" customHeight="false" outlineLevel="0" collapsed="false">
      <c r="A43" s="6" t="s">
        <v>5</v>
      </c>
      <c r="B43" s="1" t="n">
        <v>42</v>
      </c>
      <c r="C43" s="2" t="n">
        <v>351812.58</v>
      </c>
      <c r="D43" s="2" t="n">
        <v>5266409.68</v>
      </c>
      <c r="E43" s="2" t="n">
        <v>2168.4</v>
      </c>
      <c r="F43" s="6" t="n">
        <f aca="false">B42</f>
        <v>41</v>
      </c>
      <c r="G43" s="7" t="str">
        <f aca="false">_xlfn.CONCAT("X",B43)</f>
        <v>X42</v>
      </c>
      <c r="H43" s="6" t="n">
        <f aca="false">C43-C42</f>
        <v>-1.90999999997439</v>
      </c>
      <c r="I43" s="6" t="n">
        <f aca="false">D43-D42</f>
        <v>-5.45000000018626</v>
      </c>
      <c r="J43" s="6" t="n">
        <f aca="false">E43-E42</f>
        <v>5.80000000000018</v>
      </c>
    </row>
    <row r="44" customFormat="false" ht="12.8" hidden="false" customHeight="false" outlineLevel="0" collapsed="false">
      <c r="A44" s="6" t="s">
        <v>5</v>
      </c>
      <c r="B44" s="1" t="n">
        <v>43</v>
      </c>
      <c r="C44" s="2" t="n">
        <v>351811.71</v>
      </c>
      <c r="D44" s="2" t="n">
        <v>5266405.8</v>
      </c>
      <c r="E44" s="2" t="n">
        <v>2172</v>
      </c>
      <c r="F44" s="6" t="n">
        <f aca="false">B43</f>
        <v>42</v>
      </c>
      <c r="G44" s="7" t="str">
        <f aca="false">_xlfn.CONCAT("X",B44)</f>
        <v>X43</v>
      </c>
      <c r="H44" s="6" t="n">
        <f aca="false">C44-C43</f>
        <v>-0.869999999995343</v>
      </c>
      <c r="I44" s="6" t="n">
        <f aca="false">D44-D43</f>
        <v>-3.87999999988824</v>
      </c>
      <c r="J44" s="6" t="n">
        <f aca="false">E44-E43</f>
        <v>3.59999999999991</v>
      </c>
    </row>
    <row r="45" customFormat="false" ht="12.8" hidden="false" customHeight="false" outlineLevel="0" collapsed="false">
      <c r="A45" s="6" t="s">
        <v>5</v>
      </c>
      <c r="B45" s="1" t="n">
        <v>44</v>
      </c>
      <c r="C45" s="2" t="n">
        <v>351810.68</v>
      </c>
      <c r="D45" s="2" t="n">
        <v>5266394.91</v>
      </c>
      <c r="E45" s="2" t="n">
        <v>2182.3</v>
      </c>
      <c r="F45" s="6" t="n">
        <f aca="false">B44</f>
        <v>43</v>
      </c>
      <c r="G45" s="7" t="str">
        <f aca="false">_xlfn.CONCAT("X",B45)</f>
        <v>X44</v>
      </c>
      <c r="H45" s="6" t="n">
        <f aca="false">C45-C44</f>
        <v>-1.03000000002794</v>
      </c>
      <c r="I45" s="6" t="n">
        <f aca="false">D45-D44</f>
        <v>-10.8899999996647</v>
      </c>
      <c r="J45" s="6" t="n">
        <f aca="false">E45-E44</f>
        <v>10.3000000000002</v>
      </c>
    </row>
    <row r="46" customFormat="false" ht="12.8" hidden="false" customHeight="false" outlineLevel="0" collapsed="false">
      <c r="A46" s="6" t="s">
        <v>5</v>
      </c>
      <c r="B46" s="1" t="n">
        <v>45</v>
      </c>
      <c r="C46" s="2" t="n">
        <v>351809.92</v>
      </c>
      <c r="D46" s="2" t="n">
        <v>5266390.36</v>
      </c>
      <c r="E46" s="2" t="n">
        <v>2184.7</v>
      </c>
      <c r="F46" s="6" t="n">
        <f aca="false">B45</f>
        <v>44</v>
      </c>
      <c r="G46" s="7" t="str">
        <f aca="false">_xlfn.CONCAT("X",B46)</f>
        <v>X45</v>
      </c>
      <c r="H46" s="6" t="n">
        <f aca="false">C46-C45</f>
        <v>-0.760000000009313</v>
      </c>
      <c r="I46" s="6" t="n">
        <f aca="false">D46-D45</f>
        <v>-4.54999999981374</v>
      </c>
      <c r="J46" s="6" t="n">
        <f aca="false">E46-E45</f>
        <v>2.39999999999964</v>
      </c>
    </row>
    <row r="47" customFormat="false" ht="12.8" hidden="false" customHeight="false" outlineLevel="0" collapsed="false">
      <c r="A47" s="6" t="s">
        <v>5</v>
      </c>
      <c r="B47" s="1" t="n">
        <v>46</v>
      </c>
      <c r="C47" s="2" t="n">
        <v>351809.38</v>
      </c>
      <c r="D47" s="2" t="n">
        <v>5266383.49</v>
      </c>
      <c r="E47" s="2" t="n">
        <v>2189.9</v>
      </c>
      <c r="F47" s="6" t="n">
        <f aca="false">B46</f>
        <v>45</v>
      </c>
      <c r="G47" s="7" t="str">
        <f aca="false">_xlfn.CONCAT("X",B47)</f>
        <v>X46</v>
      </c>
      <c r="H47" s="6" t="n">
        <f aca="false">C47-C46</f>
        <v>-0.539999999979045</v>
      </c>
      <c r="I47" s="6" t="n">
        <f aca="false">D47-D46</f>
        <v>-6.87000000011176</v>
      </c>
      <c r="J47" s="6" t="n">
        <f aca="false">E47-E46</f>
        <v>5.20000000000027</v>
      </c>
    </row>
    <row r="48" customFormat="false" ht="12.8" hidden="false" customHeight="false" outlineLevel="0" collapsed="false">
      <c r="A48" s="6" t="s">
        <v>5</v>
      </c>
      <c r="B48" s="1" t="n">
        <v>47</v>
      </c>
      <c r="C48" s="2" t="n">
        <v>351809.32</v>
      </c>
      <c r="D48" s="2" t="n">
        <v>5266381.11</v>
      </c>
      <c r="E48" s="2" t="n">
        <v>2192</v>
      </c>
      <c r="F48" s="6" t="n">
        <f aca="false">B47</f>
        <v>46</v>
      </c>
      <c r="G48" s="7" t="str">
        <f aca="false">_xlfn.CONCAT("X",B48)</f>
        <v>X47</v>
      </c>
      <c r="H48" s="6" t="n">
        <f aca="false">C48-C47</f>
        <v>-0.0599999999976717</v>
      </c>
      <c r="I48" s="6" t="n">
        <f aca="false">D48-D47</f>
        <v>-2.37999999988824</v>
      </c>
      <c r="J48" s="6" t="n">
        <f aca="false">E48-E47</f>
        <v>2.09999999999991</v>
      </c>
    </row>
    <row r="49" customFormat="false" ht="12.8" hidden="false" customHeight="false" outlineLevel="0" collapsed="false">
      <c r="A49" s="6" t="s">
        <v>5</v>
      </c>
      <c r="B49" s="1" t="n">
        <v>48</v>
      </c>
      <c r="C49" s="2" t="n">
        <v>351810.11</v>
      </c>
      <c r="D49" s="2" t="n">
        <v>5266377.65</v>
      </c>
      <c r="E49" s="2" t="n">
        <v>2194.4</v>
      </c>
      <c r="F49" s="6" t="n">
        <f aca="false">B48</f>
        <v>47</v>
      </c>
      <c r="G49" s="7" t="str">
        <f aca="false">_xlfn.CONCAT("X",B49)</f>
        <v>X48</v>
      </c>
      <c r="H49" s="6" t="n">
        <f aca="false">C49-C48</f>
        <v>0.789999999979045</v>
      </c>
      <c r="I49" s="6" t="n">
        <f aca="false">D49-D48</f>
        <v>-3.45999999996275</v>
      </c>
      <c r="J49" s="6" t="n">
        <f aca="false">E49-E48</f>
        <v>2.40000000000009</v>
      </c>
    </row>
    <row r="50" customFormat="false" ht="12.8" hidden="false" customHeight="false" outlineLevel="0" collapsed="false">
      <c r="A50" s="6" t="s">
        <v>5</v>
      </c>
      <c r="B50" s="1" t="n">
        <v>49</v>
      </c>
      <c r="C50" s="2" t="n">
        <v>351811.25</v>
      </c>
      <c r="D50" s="2" t="n">
        <v>5266375.18</v>
      </c>
      <c r="E50" s="2" t="n">
        <v>2195.8</v>
      </c>
      <c r="F50" s="6" t="n">
        <f aca="false">B49</f>
        <v>48</v>
      </c>
      <c r="G50" s="7" t="str">
        <f aca="false">_xlfn.CONCAT("X",B50)</f>
        <v>X49</v>
      </c>
      <c r="H50" s="6" t="n">
        <f aca="false">C50-C49</f>
        <v>1.14000000001397</v>
      </c>
      <c r="I50" s="6" t="n">
        <f aca="false">D50-D49</f>
        <v>-2.47000000067055</v>
      </c>
      <c r="J50" s="6" t="n">
        <f aca="false">E50-E49</f>
        <v>1.40000000000009</v>
      </c>
    </row>
    <row r="51" customFormat="false" ht="12.8" hidden="false" customHeight="false" outlineLevel="0" collapsed="false">
      <c r="A51" s="6" t="s">
        <v>5</v>
      </c>
      <c r="B51" s="1" t="n">
        <v>50</v>
      </c>
      <c r="C51" s="2" t="n">
        <v>351813.67</v>
      </c>
      <c r="D51" s="2" t="n">
        <v>5266371.16</v>
      </c>
      <c r="E51" s="2" t="n">
        <v>2198.5</v>
      </c>
      <c r="F51" s="6" t="n">
        <f aca="false">B50</f>
        <v>49</v>
      </c>
      <c r="G51" s="7" t="str">
        <f aca="false">_xlfn.CONCAT("X",B51)</f>
        <v>X50</v>
      </c>
      <c r="H51" s="6" t="n">
        <f aca="false">C51-C50</f>
        <v>2.4199999999837</v>
      </c>
      <c r="I51" s="6" t="n">
        <f aca="false">D51-D50</f>
        <v>-4.01999999955297</v>
      </c>
      <c r="J51" s="6" t="n">
        <f aca="false">E51-E50</f>
        <v>2.69999999999982</v>
      </c>
    </row>
    <row r="52" customFormat="false" ht="12.8" hidden="false" customHeight="false" outlineLevel="0" collapsed="false">
      <c r="A52" s="6" t="s">
        <v>5</v>
      </c>
      <c r="B52" s="1" t="n">
        <v>51</v>
      </c>
      <c r="C52" s="2" t="n">
        <v>351813.78</v>
      </c>
      <c r="D52" s="2" t="n">
        <v>5266369.77</v>
      </c>
      <c r="E52" s="2" t="n">
        <v>2199.5</v>
      </c>
      <c r="F52" s="6" t="n">
        <f aca="false">B51</f>
        <v>50</v>
      </c>
      <c r="G52" s="7" t="str">
        <f aca="false">_xlfn.CONCAT("X",B52)</f>
        <v>X51</v>
      </c>
      <c r="H52" s="6" t="n">
        <f aca="false">C52-C51</f>
        <v>0.110000000044238</v>
      </c>
      <c r="I52" s="6" t="n">
        <f aca="false">D52-D51</f>
        <v>-1.39000000059605</v>
      </c>
      <c r="J52" s="6" t="n">
        <f aca="false">E52-E51</f>
        <v>1</v>
      </c>
    </row>
    <row r="53" customFormat="false" ht="12.8" hidden="false" customHeight="false" outlineLevel="0" collapsed="false">
      <c r="A53" s="6" t="s">
        <v>5</v>
      </c>
      <c r="B53" s="1" t="n">
        <v>52</v>
      </c>
      <c r="C53" s="2" t="n">
        <v>351813.37</v>
      </c>
      <c r="D53" s="2" t="n">
        <v>5266366.14</v>
      </c>
      <c r="E53" s="2" t="n">
        <v>2202.2</v>
      </c>
      <c r="F53" s="6" t="n">
        <f aca="false">B52</f>
        <v>51</v>
      </c>
      <c r="G53" s="7" t="str">
        <f aca="false">_xlfn.CONCAT("X",B53)</f>
        <v>X52</v>
      </c>
      <c r="H53" s="6" t="n">
        <f aca="false">C53-C52</f>
        <v>-0.410000000032596</v>
      </c>
      <c r="I53" s="6" t="n">
        <f aca="false">D53-D52</f>
        <v>-3.62999999988824</v>
      </c>
      <c r="J53" s="6" t="n">
        <f aca="false">E53-E52</f>
        <v>2.69999999999982</v>
      </c>
    </row>
    <row r="54" customFormat="false" ht="12.8" hidden="false" customHeight="false" outlineLevel="0" collapsed="false">
      <c r="A54" s="6" t="s">
        <v>5</v>
      </c>
      <c r="B54" s="1" t="n">
        <v>53</v>
      </c>
      <c r="C54" s="2" t="n">
        <v>351811.31</v>
      </c>
      <c r="D54" s="2" t="n">
        <v>5266356.59</v>
      </c>
      <c r="E54" s="2" t="n">
        <v>2207.8</v>
      </c>
      <c r="F54" s="6" t="n">
        <f aca="false">B53</f>
        <v>52</v>
      </c>
      <c r="G54" s="7" t="str">
        <f aca="false">_xlfn.CONCAT("X",B54)</f>
        <v>X53</v>
      </c>
      <c r="H54" s="6" t="n">
        <f aca="false">C54-C53</f>
        <v>-2.05999999999767</v>
      </c>
      <c r="I54" s="6" t="n">
        <f aca="false">D54-D53</f>
        <v>-9.54999999981374</v>
      </c>
      <c r="J54" s="6" t="n">
        <f aca="false">E54-E53</f>
        <v>5.60000000000036</v>
      </c>
    </row>
    <row r="55" customFormat="false" ht="12.8" hidden="false" customHeight="false" outlineLevel="0" collapsed="false">
      <c r="A55" s="6" t="s">
        <v>5</v>
      </c>
      <c r="B55" s="1" t="n">
        <v>54</v>
      </c>
      <c r="C55" s="2" t="n">
        <v>351805.72</v>
      </c>
      <c r="D55" s="2" t="n">
        <v>5266341.04</v>
      </c>
      <c r="E55" s="2" t="n">
        <v>2218.3</v>
      </c>
      <c r="F55" s="6" t="n">
        <f aca="false">B54</f>
        <v>53</v>
      </c>
      <c r="G55" s="7" t="str">
        <f aca="false">_xlfn.CONCAT("X",B55)</f>
        <v>X54</v>
      </c>
      <c r="H55" s="6" t="n">
        <f aca="false">C55-C54</f>
        <v>-5.59000000002561</v>
      </c>
      <c r="I55" s="6" t="n">
        <f aca="false">D55-D54</f>
        <v>-15.5499999998137</v>
      </c>
      <c r="J55" s="6" t="n">
        <f aca="false">E55-E54</f>
        <v>10.5</v>
      </c>
    </row>
    <row r="56" customFormat="false" ht="12.8" hidden="false" customHeight="false" outlineLevel="0" collapsed="false">
      <c r="A56" s="6" t="s">
        <v>5</v>
      </c>
      <c r="B56" s="1" t="n">
        <v>55</v>
      </c>
      <c r="C56" s="2" t="n">
        <v>351804.48</v>
      </c>
      <c r="D56" s="2" t="n">
        <v>5266337.96</v>
      </c>
      <c r="E56" s="2" t="n">
        <v>2219.7</v>
      </c>
      <c r="F56" s="6" t="n">
        <f aca="false">B55</f>
        <v>54</v>
      </c>
      <c r="G56" s="7" t="str">
        <f aca="false">_xlfn.CONCAT("X",B56)</f>
        <v>X55</v>
      </c>
      <c r="H56" s="6" t="n">
        <f aca="false">C56-C55</f>
        <v>-1.23999999999069</v>
      </c>
      <c r="I56" s="6" t="n">
        <f aca="false">D56-D55</f>
        <v>-3.08000000007451</v>
      </c>
      <c r="J56" s="6" t="n">
        <f aca="false">E56-E55</f>
        <v>1.39999999999964</v>
      </c>
    </row>
    <row r="57" customFormat="false" ht="12.8" hidden="false" customHeight="false" outlineLevel="0" collapsed="false">
      <c r="A57" s="6" t="s">
        <v>5</v>
      </c>
      <c r="B57" s="1" t="n">
        <v>56</v>
      </c>
      <c r="C57" s="2" t="n">
        <v>351803.78</v>
      </c>
      <c r="D57" s="2" t="n">
        <v>5266335.25</v>
      </c>
      <c r="E57" s="2" t="n">
        <v>2220.5</v>
      </c>
      <c r="F57" s="6" t="n">
        <f aca="false">B56</f>
        <v>55</v>
      </c>
      <c r="G57" s="7" t="str">
        <f aca="false">_xlfn.CONCAT("X",B57)</f>
        <v>X56</v>
      </c>
      <c r="H57" s="6" t="n">
        <f aca="false">C57-C56</f>
        <v>-0.699999999953434</v>
      </c>
      <c r="I57" s="6" t="n">
        <f aca="false">D57-D56</f>
        <v>-2.70999999996275</v>
      </c>
      <c r="J57" s="6" t="n">
        <f aca="false">E57-E56</f>
        <v>0.800000000000182</v>
      </c>
    </row>
    <row r="58" customFormat="false" ht="12.8" hidden="false" customHeight="false" outlineLevel="0" collapsed="false">
      <c r="A58" s="6" t="s">
        <v>5</v>
      </c>
      <c r="B58" s="1" t="n">
        <v>57</v>
      </c>
      <c r="C58" s="2" t="n">
        <v>351803.58</v>
      </c>
      <c r="D58" s="2" t="n">
        <v>5266332.41</v>
      </c>
      <c r="E58" s="2" t="n">
        <v>2221.2</v>
      </c>
      <c r="F58" s="6" t="n">
        <f aca="false">B57</f>
        <v>56</v>
      </c>
      <c r="G58" s="7" t="str">
        <f aca="false">_xlfn.CONCAT("X",B58)</f>
        <v>X57</v>
      </c>
      <c r="H58" s="6" t="n">
        <f aca="false">C58-C57</f>
        <v>-0.200000000011642</v>
      </c>
      <c r="I58" s="6" t="n">
        <f aca="false">D58-D57</f>
        <v>-2.83999999985099</v>
      </c>
      <c r="J58" s="6" t="n">
        <f aca="false">E58-E57</f>
        <v>0.699999999999818</v>
      </c>
    </row>
    <row r="59" customFormat="false" ht="12.8" hidden="false" customHeight="false" outlineLevel="0" collapsed="false">
      <c r="A59" s="6" t="s">
        <v>5</v>
      </c>
      <c r="B59" s="1" t="n">
        <v>58</v>
      </c>
      <c r="C59" s="2" t="n">
        <v>351804.09</v>
      </c>
      <c r="D59" s="2" t="n">
        <v>5266331.14</v>
      </c>
      <c r="E59" s="2" t="n">
        <v>2221.7</v>
      </c>
      <c r="F59" s="6" t="n">
        <f aca="false">B58</f>
        <v>57</v>
      </c>
      <c r="G59" s="7" t="str">
        <f aca="false">_xlfn.CONCAT("X",B59)</f>
        <v>X58</v>
      </c>
      <c r="H59" s="6" t="n">
        <f aca="false">C59-C58</f>
        <v>0.510000000009313</v>
      </c>
      <c r="I59" s="6" t="n">
        <f aca="false">D59-D58</f>
        <v>-1.27000000048429</v>
      </c>
      <c r="J59" s="6" t="n">
        <f aca="false">E59-E58</f>
        <v>0.5</v>
      </c>
    </row>
    <row r="60" customFormat="false" ht="12.8" hidden="false" customHeight="false" outlineLevel="0" collapsed="false">
      <c r="A60" s="6" t="s">
        <v>5</v>
      </c>
      <c r="B60" s="1" t="n">
        <v>59</v>
      </c>
      <c r="C60" s="2" t="n">
        <v>351806.32</v>
      </c>
      <c r="D60" s="2" t="n">
        <v>5266327.46</v>
      </c>
      <c r="E60" s="2" t="n">
        <v>2221.9</v>
      </c>
      <c r="F60" s="6" t="n">
        <f aca="false">B59</f>
        <v>58</v>
      </c>
      <c r="G60" s="7" t="str">
        <f aca="false">_xlfn.CONCAT("X",B60)</f>
        <v>X59</v>
      </c>
      <c r="H60" s="6" t="n">
        <f aca="false">C60-C59</f>
        <v>2.22999999998137</v>
      </c>
      <c r="I60" s="6" t="n">
        <f aca="false">D60-D59</f>
        <v>-3.67999999970198</v>
      </c>
      <c r="J60" s="6" t="n">
        <f aca="false">E60-E59</f>
        <v>0.200000000000273</v>
      </c>
    </row>
    <row r="61" customFormat="false" ht="12.8" hidden="false" customHeight="false" outlineLevel="0" collapsed="false">
      <c r="A61" s="6" t="s">
        <v>5</v>
      </c>
      <c r="B61" s="1" t="n">
        <v>60</v>
      </c>
      <c r="C61" s="2" t="n">
        <v>351812.77</v>
      </c>
      <c r="D61" s="2" t="n">
        <v>5266319.71</v>
      </c>
      <c r="E61" s="2" t="n">
        <v>2235.1</v>
      </c>
      <c r="F61" s="6" t="n">
        <f aca="false">B60</f>
        <v>59</v>
      </c>
      <c r="G61" s="7" t="str">
        <f aca="false">_xlfn.CONCAT("X",B61)</f>
        <v>X60</v>
      </c>
      <c r="H61" s="6" t="n">
        <f aca="false">C61-C60</f>
        <v>6.45000000001164</v>
      </c>
      <c r="I61" s="6" t="n">
        <f aca="false">D61-D60</f>
        <v>-7.75</v>
      </c>
      <c r="J61" s="6" t="n">
        <f aca="false">E61-E60</f>
        <v>13.1999999999998</v>
      </c>
    </row>
    <row r="62" customFormat="false" ht="12.8" hidden="false" customHeight="false" outlineLevel="0" collapsed="false">
      <c r="A62" s="6" t="s">
        <v>5</v>
      </c>
      <c r="B62" s="1" t="n">
        <v>61</v>
      </c>
      <c r="C62" s="2" t="n">
        <v>351815.64</v>
      </c>
      <c r="D62" s="2" t="n">
        <v>5266317.47</v>
      </c>
      <c r="E62" s="2" t="n">
        <v>2237.3</v>
      </c>
      <c r="F62" s="6" t="n">
        <f aca="false">B61</f>
        <v>60</v>
      </c>
      <c r="G62" s="7" t="str">
        <f aca="false">_xlfn.CONCAT("X",B62)</f>
        <v>X61</v>
      </c>
      <c r="H62" s="6" t="n">
        <f aca="false">C62-C61</f>
        <v>2.86999999999534</v>
      </c>
      <c r="I62" s="6" t="n">
        <f aca="false">D62-D61</f>
        <v>-2.24000000022352</v>
      </c>
      <c r="J62" s="6" t="n">
        <f aca="false">E62-E61</f>
        <v>2.20000000000027</v>
      </c>
    </row>
    <row r="63" customFormat="false" ht="12.8" hidden="false" customHeight="false" outlineLevel="0" collapsed="false">
      <c r="A63" s="6" t="s">
        <v>5</v>
      </c>
      <c r="B63" s="1" t="n">
        <v>62</v>
      </c>
      <c r="C63" s="2" t="n">
        <v>351816.61</v>
      </c>
      <c r="D63" s="2" t="n">
        <v>5266316.45</v>
      </c>
      <c r="E63" s="2" t="n">
        <v>2237.7</v>
      </c>
      <c r="F63" s="6" t="n">
        <f aca="false">B62</f>
        <v>61</v>
      </c>
      <c r="G63" s="7" t="str">
        <f aca="false">_xlfn.CONCAT("X",B63)</f>
        <v>X62</v>
      </c>
      <c r="H63" s="6" t="n">
        <f aca="false">C63-C62</f>
        <v>0.96999999997206</v>
      </c>
      <c r="I63" s="6" t="n">
        <f aca="false">D63-D62</f>
        <v>-1.01999999955297</v>
      </c>
      <c r="J63" s="6" t="n">
        <f aca="false">E63-E62</f>
        <v>0.399999999999636</v>
      </c>
    </row>
    <row r="64" customFormat="false" ht="12.8" hidden="false" customHeight="false" outlineLevel="0" collapsed="false">
      <c r="A64" s="6" t="s">
        <v>5</v>
      </c>
      <c r="B64" s="1" t="n">
        <v>63</v>
      </c>
      <c r="C64" s="2" t="n">
        <v>351817.89</v>
      </c>
      <c r="D64" s="2" t="n">
        <v>5266314.51</v>
      </c>
      <c r="E64" s="2" t="n">
        <v>2239.3</v>
      </c>
      <c r="F64" s="6" t="n">
        <f aca="false">B63</f>
        <v>62</v>
      </c>
      <c r="G64" s="7" t="str">
        <f aca="false">_xlfn.CONCAT("X",B64)</f>
        <v>X63</v>
      </c>
      <c r="H64" s="6" t="n">
        <f aca="false">C64-C63</f>
        <v>1.28000000002794</v>
      </c>
      <c r="I64" s="6" t="n">
        <f aca="false">D64-D63</f>
        <v>-1.94000000040978</v>
      </c>
      <c r="J64" s="6" t="n">
        <f aca="false">E64-E63</f>
        <v>1.60000000000036</v>
      </c>
    </row>
    <row r="65" customFormat="false" ht="12.8" hidden="false" customHeight="false" outlineLevel="0" collapsed="false">
      <c r="A65" s="6" t="s">
        <v>5</v>
      </c>
      <c r="B65" s="1" t="n">
        <v>64</v>
      </c>
      <c r="C65" s="2" t="n">
        <v>351820.1</v>
      </c>
      <c r="D65" s="2" t="n">
        <v>5266309.96</v>
      </c>
      <c r="E65" s="2" t="n">
        <v>2241.9</v>
      </c>
      <c r="F65" s="6" t="n">
        <f aca="false">B64</f>
        <v>63</v>
      </c>
      <c r="G65" s="7" t="str">
        <f aca="false">_xlfn.CONCAT("X",B65)</f>
        <v>X64</v>
      </c>
      <c r="H65" s="6" t="n">
        <f aca="false">C65-C64</f>
        <v>2.20999999996275</v>
      </c>
      <c r="I65" s="6" t="n">
        <f aca="false">D65-D64</f>
        <v>-4.54999999981374</v>
      </c>
      <c r="J65" s="6" t="n">
        <f aca="false">E65-E64</f>
        <v>2.59999999999991</v>
      </c>
    </row>
    <row r="66" customFormat="false" ht="12.8" hidden="false" customHeight="false" outlineLevel="0" collapsed="false">
      <c r="A66" s="6" t="s">
        <v>5</v>
      </c>
      <c r="B66" s="1" t="n">
        <v>65</v>
      </c>
      <c r="C66" s="2" t="n">
        <v>351822.07</v>
      </c>
      <c r="D66" s="2" t="n">
        <v>5266304.46</v>
      </c>
      <c r="E66" s="2" t="n">
        <v>2248.7</v>
      </c>
      <c r="F66" s="6" t="n">
        <f aca="false">B65</f>
        <v>64</v>
      </c>
      <c r="G66" s="7" t="str">
        <f aca="false">_xlfn.CONCAT("X",B66)</f>
        <v>X65</v>
      </c>
      <c r="H66" s="6" t="n">
        <f aca="false">C66-C65</f>
        <v>1.97000000003027</v>
      </c>
      <c r="I66" s="6" t="n">
        <f aca="false">D66-D65</f>
        <v>-5.5</v>
      </c>
      <c r="J66" s="6" t="n">
        <f aca="false">E66-E65</f>
        <v>6.79999999999973</v>
      </c>
    </row>
    <row r="67" customFormat="false" ht="12.8" hidden="false" customHeight="false" outlineLevel="0" collapsed="false">
      <c r="A67" s="6" t="s">
        <v>5</v>
      </c>
      <c r="B67" s="1" t="n">
        <v>66</v>
      </c>
      <c r="C67" s="2" t="n">
        <v>351825.58</v>
      </c>
      <c r="D67" s="2" t="n">
        <v>5266288.24</v>
      </c>
      <c r="E67" s="2" t="n">
        <v>2263.7</v>
      </c>
      <c r="F67" s="6" t="n">
        <f aca="false">B66</f>
        <v>65</v>
      </c>
      <c r="G67" s="7" t="str">
        <f aca="false">_xlfn.CONCAT("X",B67)</f>
        <v>X66</v>
      </c>
      <c r="H67" s="6" t="n">
        <f aca="false">C67-C66</f>
        <v>3.51000000000931</v>
      </c>
      <c r="I67" s="6" t="n">
        <f aca="false">D67-D66</f>
        <v>-16.2199999997392</v>
      </c>
      <c r="J67" s="6" t="n">
        <f aca="false">E67-E66</f>
        <v>15</v>
      </c>
    </row>
    <row r="68" customFormat="false" ht="12.8" hidden="false" customHeight="false" outlineLevel="0" collapsed="false">
      <c r="A68" s="6" t="s">
        <v>5</v>
      </c>
      <c r="B68" s="1" t="n">
        <v>67</v>
      </c>
      <c r="C68" s="2" t="n">
        <v>351825.63</v>
      </c>
      <c r="D68" s="2" t="n">
        <v>5266284.11</v>
      </c>
      <c r="E68" s="2" t="n">
        <v>2267.4</v>
      </c>
      <c r="F68" s="6" t="n">
        <f aca="false">B67</f>
        <v>66</v>
      </c>
      <c r="G68" s="7" t="str">
        <f aca="false">_xlfn.CONCAT("X",B68)</f>
        <v>X67</v>
      </c>
      <c r="H68" s="6" t="n">
        <f aca="false">C68-C67</f>
        <v>0.0499999999883585</v>
      </c>
      <c r="I68" s="6" t="n">
        <f aca="false">D68-D67</f>
        <v>-4.12999999988824</v>
      </c>
      <c r="J68" s="6" t="n">
        <f aca="false">E68-E67</f>
        <v>3.70000000000027</v>
      </c>
    </row>
    <row r="69" customFormat="false" ht="12.8" hidden="false" customHeight="false" outlineLevel="0" collapsed="false">
      <c r="A69" s="6" t="s">
        <v>5</v>
      </c>
      <c r="B69" s="1" t="n">
        <v>68</v>
      </c>
      <c r="C69" s="2" t="n">
        <v>351825.54</v>
      </c>
      <c r="D69" s="2" t="n">
        <v>5266282.99</v>
      </c>
      <c r="E69" s="2" t="n">
        <v>2268.4</v>
      </c>
      <c r="F69" s="6" t="n">
        <f aca="false">B68</f>
        <v>67</v>
      </c>
      <c r="G69" s="7" t="str">
        <f aca="false">_xlfn.CONCAT("X",B69)</f>
        <v>X68</v>
      </c>
      <c r="H69" s="6" t="n">
        <f aca="false">C69-C68</f>
        <v>-0.0900000000256114</v>
      </c>
      <c r="I69" s="6" t="n">
        <f aca="false">D69-D68</f>
        <v>-1.12000000011176</v>
      </c>
      <c r="J69" s="6" t="n">
        <f aca="false">E69-E68</f>
        <v>1</v>
      </c>
    </row>
    <row r="70" customFormat="false" ht="12.8" hidden="false" customHeight="false" outlineLevel="0" collapsed="false">
      <c r="A70" s="6" t="s">
        <v>5</v>
      </c>
      <c r="B70" s="1" t="n">
        <v>69</v>
      </c>
      <c r="C70" s="2" t="n">
        <v>351825.11</v>
      </c>
      <c r="D70" s="2" t="n">
        <v>5266281.34</v>
      </c>
      <c r="E70" s="2" t="n">
        <v>2269.7</v>
      </c>
      <c r="F70" s="6" t="n">
        <f aca="false">B69</f>
        <v>68</v>
      </c>
      <c r="G70" s="7" t="str">
        <f aca="false">_xlfn.CONCAT("X",B70)</f>
        <v>X69</v>
      </c>
      <c r="H70" s="6" t="n">
        <f aca="false">C70-C69</f>
        <v>-0.429999999993015</v>
      </c>
      <c r="I70" s="6" t="n">
        <f aca="false">D70-D69</f>
        <v>-1.65000000037253</v>
      </c>
      <c r="J70" s="6" t="n">
        <f aca="false">E70-E69</f>
        <v>1.29999999999973</v>
      </c>
    </row>
    <row r="71" customFormat="false" ht="12.8" hidden="false" customHeight="false" outlineLevel="0" collapsed="false">
      <c r="A71" s="6" t="s">
        <v>5</v>
      </c>
      <c r="B71" s="1" t="n">
        <v>70</v>
      </c>
      <c r="C71" s="2" t="n">
        <v>351823.02</v>
      </c>
      <c r="D71" s="2" t="n">
        <v>5266279.21</v>
      </c>
      <c r="E71" s="2" t="n">
        <v>2271.4</v>
      </c>
      <c r="F71" s="6" t="n">
        <f aca="false">B70</f>
        <v>69</v>
      </c>
      <c r="G71" s="7" t="str">
        <f aca="false">_xlfn.CONCAT("X",B71)</f>
        <v>X70</v>
      </c>
      <c r="H71" s="6" t="n">
        <f aca="false">C71-C70</f>
        <v>-2.0899999999674</v>
      </c>
      <c r="I71" s="6" t="n">
        <f aca="false">D71-D70</f>
        <v>-2.12999999988824</v>
      </c>
      <c r="J71" s="6" t="n">
        <f aca="false">E71-E70</f>
        <v>1.70000000000027</v>
      </c>
    </row>
    <row r="72" customFormat="false" ht="12.8" hidden="false" customHeight="false" outlineLevel="0" collapsed="false">
      <c r="A72" s="6" t="s">
        <v>5</v>
      </c>
      <c r="B72" s="1" t="n">
        <v>71</v>
      </c>
      <c r="C72" s="2" t="n">
        <v>351810.13</v>
      </c>
      <c r="D72" s="2" t="n">
        <v>5266267.51</v>
      </c>
      <c r="E72" s="2" t="n">
        <v>2278.3</v>
      </c>
      <c r="F72" s="6" t="n">
        <f aca="false">B71</f>
        <v>70</v>
      </c>
      <c r="G72" s="7" t="str">
        <f aca="false">_xlfn.CONCAT("X",B72)</f>
        <v>X71</v>
      </c>
      <c r="H72" s="6" t="n">
        <f aca="false">C72-C71</f>
        <v>-12.890000000014</v>
      </c>
      <c r="I72" s="6" t="n">
        <f aca="false">D72-D71</f>
        <v>-11.7000000001863</v>
      </c>
      <c r="J72" s="6" t="n">
        <f aca="false">E72-E71</f>
        <v>6.90000000000009</v>
      </c>
    </row>
    <row r="73" customFormat="false" ht="12.8" hidden="false" customHeight="false" outlineLevel="0" collapsed="false">
      <c r="A73" s="6" t="s">
        <v>5</v>
      </c>
      <c r="B73" s="1" t="n">
        <v>72</v>
      </c>
      <c r="C73" s="2" t="n">
        <v>351808.63</v>
      </c>
      <c r="D73" s="2" t="n">
        <v>5266265.49</v>
      </c>
      <c r="E73" s="2" t="n">
        <v>2279.1</v>
      </c>
      <c r="F73" s="6" t="n">
        <f aca="false">B72</f>
        <v>71</v>
      </c>
      <c r="G73" s="7" t="str">
        <f aca="false">_xlfn.CONCAT("X",B73)</f>
        <v>X72</v>
      </c>
      <c r="H73" s="6" t="n">
        <f aca="false">C73-C72</f>
        <v>-1.5</v>
      </c>
      <c r="I73" s="6" t="n">
        <f aca="false">D73-D72</f>
        <v>-2.01999999955297</v>
      </c>
      <c r="J73" s="6" t="n">
        <f aca="false">E73-E72</f>
        <v>0.799999999999727</v>
      </c>
    </row>
    <row r="74" customFormat="false" ht="12.8" hidden="false" customHeight="false" outlineLevel="0" collapsed="false">
      <c r="A74" s="6" t="s">
        <v>5</v>
      </c>
      <c r="B74" s="1" t="n">
        <v>73</v>
      </c>
      <c r="C74" s="2" t="n">
        <v>351807.73</v>
      </c>
      <c r="D74" s="2" t="n">
        <v>5266263.66</v>
      </c>
      <c r="E74" s="2" t="n">
        <v>2280</v>
      </c>
      <c r="F74" s="6" t="n">
        <f aca="false">B73</f>
        <v>72</v>
      </c>
      <c r="G74" s="7" t="str">
        <f aca="false">_xlfn.CONCAT("X",B74)</f>
        <v>X73</v>
      </c>
      <c r="H74" s="6" t="n">
        <f aca="false">C74-C73</f>
        <v>-0.900000000023283</v>
      </c>
      <c r="I74" s="6" t="n">
        <f aca="false">D74-D73</f>
        <v>-1.83000000007451</v>
      </c>
      <c r="J74" s="6" t="n">
        <f aca="false">E74-E73</f>
        <v>0.900000000000091</v>
      </c>
    </row>
    <row r="75" customFormat="false" ht="12.8" hidden="false" customHeight="false" outlineLevel="0" collapsed="false">
      <c r="A75" s="6" t="s">
        <v>5</v>
      </c>
      <c r="B75" s="1" t="n">
        <v>74</v>
      </c>
      <c r="C75" s="2" t="n">
        <v>351807.09</v>
      </c>
      <c r="D75" s="2" t="n">
        <v>5266261.49</v>
      </c>
      <c r="E75" s="2" t="n">
        <v>2280.1</v>
      </c>
      <c r="F75" s="6" t="n">
        <f aca="false">B74</f>
        <v>73</v>
      </c>
      <c r="G75" s="7" t="str">
        <f aca="false">_xlfn.CONCAT("X",B75)</f>
        <v>X74</v>
      </c>
      <c r="H75" s="6" t="n">
        <f aca="false">C75-C74</f>
        <v>-0.639999999955762</v>
      </c>
      <c r="I75" s="6" t="n">
        <f aca="false">D75-D74</f>
        <v>-2.16999999992549</v>
      </c>
      <c r="J75" s="6" t="n">
        <f aca="false">E75-E74</f>
        <v>0.0999999999999091</v>
      </c>
    </row>
    <row r="76" customFormat="false" ht="12.8" hidden="false" customHeight="false" outlineLevel="0" collapsed="false">
      <c r="A76" s="6" t="s">
        <v>5</v>
      </c>
      <c r="B76" s="1" t="n">
        <v>75</v>
      </c>
      <c r="C76" s="2" t="n">
        <v>351807.05</v>
      </c>
      <c r="D76" s="2" t="n">
        <v>5266259.64</v>
      </c>
      <c r="E76" s="2" t="n">
        <v>2279.7</v>
      </c>
      <c r="F76" s="6" t="n">
        <f aca="false">B75</f>
        <v>74</v>
      </c>
      <c r="G76" s="7" t="str">
        <f aca="false">_xlfn.CONCAT("X",B76)</f>
        <v>X75</v>
      </c>
      <c r="H76" s="6" t="n">
        <f aca="false">C76-C75</f>
        <v>-0.0400000000372529</v>
      </c>
      <c r="I76" s="6" t="n">
        <f aca="false">D76-D75</f>
        <v>-1.85000000055879</v>
      </c>
      <c r="J76" s="6" t="n">
        <f aca="false">E76-E75</f>
        <v>-0.400000000000091</v>
      </c>
    </row>
    <row r="77" customFormat="false" ht="12.8" hidden="false" customHeight="false" outlineLevel="0" collapsed="false">
      <c r="A77" s="6" t="s">
        <v>5</v>
      </c>
      <c r="B77" s="1" t="n">
        <v>76</v>
      </c>
      <c r="C77" s="2" t="n">
        <v>351806.89</v>
      </c>
      <c r="D77" s="2" t="n">
        <v>5266255.01</v>
      </c>
      <c r="E77" s="2" t="n">
        <v>2281.3</v>
      </c>
      <c r="F77" s="6" t="n">
        <f aca="false">B76</f>
        <v>75</v>
      </c>
      <c r="G77" s="7" t="str">
        <f aca="false">_xlfn.CONCAT("X",B77)</f>
        <v>X76</v>
      </c>
      <c r="H77" s="6" t="n">
        <f aca="false">C77-C76</f>
        <v>-0.159999999974389</v>
      </c>
      <c r="I77" s="6" t="n">
        <f aca="false">D77-D76</f>
        <v>-4.62999999988824</v>
      </c>
      <c r="J77" s="6" t="n">
        <f aca="false">E77-E76</f>
        <v>1.60000000000036</v>
      </c>
    </row>
    <row r="78" customFormat="false" ht="12.8" hidden="false" customHeight="false" outlineLevel="0" collapsed="false">
      <c r="A78" s="6" t="s">
        <v>5</v>
      </c>
      <c r="B78" s="1" t="n">
        <v>77</v>
      </c>
      <c r="C78" s="2" t="n">
        <v>351808.05</v>
      </c>
      <c r="D78" s="2" t="n">
        <v>5266250.68</v>
      </c>
      <c r="E78" s="2" t="n">
        <v>2284.6</v>
      </c>
      <c r="F78" s="6" t="n">
        <f aca="false">B77</f>
        <v>76</v>
      </c>
      <c r="G78" s="7" t="str">
        <f aca="false">_xlfn.CONCAT("X",B78)</f>
        <v>X77</v>
      </c>
      <c r="H78" s="6" t="n">
        <f aca="false">C78-C77</f>
        <v>1.15999999997439</v>
      </c>
      <c r="I78" s="6" t="n">
        <f aca="false">D78-D77</f>
        <v>-4.33000000007451</v>
      </c>
      <c r="J78" s="6" t="n">
        <f aca="false">E78-E77</f>
        <v>3.29999999999973</v>
      </c>
    </row>
    <row r="79" customFormat="false" ht="12.8" hidden="false" customHeight="false" outlineLevel="0" collapsed="false">
      <c r="A79" s="6" t="s">
        <v>5</v>
      </c>
      <c r="B79" s="1" t="n">
        <v>78</v>
      </c>
      <c r="C79" s="2" t="n">
        <v>351808.54</v>
      </c>
      <c r="D79" s="2" t="n">
        <v>5266249.02</v>
      </c>
      <c r="E79" s="2" t="n">
        <v>2286</v>
      </c>
      <c r="F79" s="6" t="n">
        <f aca="false">B78</f>
        <v>77</v>
      </c>
      <c r="G79" s="7" t="str">
        <f aca="false">_xlfn.CONCAT("X",B79)</f>
        <v>X78</v>
      </c>
      <c r="H79" s="6" t="n">
        <f aca="false">C79-C78</f>
        <v>0.489999999990687</v>
      </c>
      <c r="I79" s="6" t="n">
        <f aca="false">D79-D78</f>
        <v>-1.66000000014901</v>
      </c>
      <c r="J79" s="6" t="n">
        <f aca="false">E79-E78</f>
        <v>1.40000000000009</v>
      </c>
    </row>
    <row r="80" customFormat="false" ht="12.8" hidden="false" customHeight="false" outlineLevel="0" collapsed="false">
      <c r="A80" s="6" t="s">
        <v>5</v>
      </c>
      <c r="B80" s="1" t="n">
        <v>79</v>
      </c>
      <c r="C80" s="2" t="n">
        <v>351808.11</v>
      </c>
      <c r="D80" s="2" t="n">
        <v>5266247.38</v>
      </c>
      <c r="E80" s="2" t="n">
        <v>2287.9</v>
      </c>
      <c r="F80" s="6" t="n">
        <f aca="false">B79</f>
        <v>78</v>
      </c>
      <c r="G80" s="7" t="str">
        <f aca="false">_xlfn.CONCAT("X",B80)</f>
        <v>X79</v>
      </c>
      <c r="H80" s="6" t="n">
        <f aca="false">C80-C79</f>
        <v>-0.429999999993015</v>
      </c>
      <c r="I80" s="6" t="n">
        <f aca="false">D80-D79</f>
        <v>-1.63999999966472</v>
      </c>
      <c r="J80" s="6" t="n">
        <f aca="false">E80-E79</f>
        <v>1.90000000000009</v>
      </c>
    </row>
    <row r="81" customFormat="false" ht="12.8" hidden="false" customHeight="false" outlineLevel="0" collapsed="false">
      <c r="A81" s="6" t="s">
        <v>5</v>
      </c>
      <c r="B81" s="1" t="n">
        <v>80</v>
      </c>
      <c r="C81" s="2" t="n">
        <v>351807.13</v>
      </c>
      <c r="D81" s="2" t="n">
        <v>5266244.82</v>
      </c>
      <c r="E81" s="2" t="n">
        <v>2291.4</v>
      </c>
      <c r="F81" s="6" t="n">
        <f aca="false">B80</f>
        <v>79</v>
      </c>
      <c r="G81" s="7" t="str">
        <f aca="false">_xlfn.CONCAT("X",B81)</f>
        <v>X80</v>
      </c>
      <c r="H81" s="6" t="n">
        <f aca="false">C81-C80</f>
        <v>-0.979999999981374</v>
      </c>
      <c r="I81" s="6" t="n">
        <f aca="false">D81-D80</f>
        <v>-2.55999999959022</v>
      </c>
      <c r="J81" s="6" t="n">
        <f aca="false">E81-E80</f>
        <v>3.5</v>
      </c>
    </row>
    <row r="82" customFormat="false" ht="12.8" hidden="false" customHeight="false" outlineLevel="0" collapsed="false">
      <c r="A82" s="6" t="s">
        <v>5</v>
      </c>
      <c r="B82" s="1" t="n">
        <v>81</v>
      </c>
      <c r="C82" s="2" t="n">
        <v>351797.31</v>
      </c>
      <c r="D82" s="2" t="n">
        <v>5266227.83</v>
      </c>
      <c r="E82" s="2" t="n">
        <v>2305.3</v>
      </c>
      <c r="F82" s="6" t="n">
        <f aca="false">B81</f>
        <v>80</v>
      </c>
      <c r="G82" s="7" t="str">
        <f aca="false">_xlfn.CONCAT("X",B82)</f>
        <v>X81</v>
      </c>
      <c r="H82" s="6" t="n">
        <f aca="false">C82-C81</f>
        <v>-9.82000000000699</v>
      </c>
      <c r="I82" s="6" t="n">
        <f aca="false">D82-D81</f>
        <v>-16.9900000002235</v>
      </c>
      <c r="J82" s="6" t="n">
        <f aca="false">E82-E81</f>
        <v>13.9000000000001</v>
      </c>
    </row>
    <row r="83" customFormat="false" ht="12.8" hidden="false" customHeight="false" outlineLevel="0" collapsed="false">
      <c r="A83" s="6" t="s">
        <v>5</v>
      </c>
      <c r="B83" s="1" t="n">
        <v>82</v>
      </c>
      <c r="C83" s="2" t="n">
        <v>351873.13</v>
      </c>
      <c r="D83" s="2" t="n">
        <v>5266104.62</v>
      </c>
      <c r="E83" s="2" t="n">
        <v>2350.2</v>
      </c>
      <c r="F83" s="6" t="n">
        <f aca="false">B82</f>
        <v>81</v>
      </c>
      <c r="G83" s="7" t="str">
        <f aca="false">_xlfn.CONCAT("X",B83)</f>
        <v>X82</v>
      </c>
      <c r="H83" s="6" t="n">
        <f aca="false">C83-C82</f>
        <v>75.820000000007</v>
      </c>
      <c r="I83" s="6" t="n">
        <f aca="false">D83-D82</f>
        <v>-123.209999999963</v>
      </c>
      <c r="J83" s="6" t="n">
        <f aca="false">E83-E82</f>
        <v>44.8999999999996</v>
      </c>
    </row>
    <row r="84" customFormat="false" ht="12.8" hidden="false" customHeight="false" outlineLevel="0" collapsed="false">
      <c r="A84" s="6" t="s">
        <v>5</v>
      </c>
      <c r="B84" s="1" t="n">
        <v>83</v>
      </c>
      <c r="C84" s="2" t="n">
        <v>351937.61</v>
      </c>
      <c r="D84" s="2" t="n">
        <v>5266031.43</v>
      </c>
      <c r="E84" s="2" t="n">
        <v>2334.5</v>
      </c>
      <c r="F84" s="6" t="n">
        <f aca="false">B83</f>
        <v>82</v>
      </c>
      <c r="G84" s="7" t="str">
        <f aca="false">_xlfn.CONCAT("X",B84)</f>
        <v>X83</v>
      </c>
      <c r="H84" s="6" t="n">
        <f aca="false">C84-C83</f>
        <v>64.4799999999814</v>
      </c>
      <c r="I84" s="6" t="n">
        <f aca="false">D84-D83</f>
        <v>-73.1900000004098</v>
      </c>
      <c r="J84" s="6" t="n">
        <f aca="false">E84-E83</f>
        <v>-15.6999999999998</v>
      </c>
    </row>
    <row r="85" customFormat="false" ht="12.8" hidden="false" customHeight="false" outlineLevel="0" collapsed="false">
      <c r="A85" s="6" t="s">
        <v>5</v>
      </c>
      <c r="B85" s="1" t="n">
        <v>84</v>
      </c>
      <c r="C85" s="2" t="n">
        <v>351939.8</v>
      </c>
      <c r="D85" s="2" t="n">
        <v>5266023.78</v>
      </c>
      <c r="E85" s="2" t="n">
        <v>2331.7</v>
      </c>
      <c r="F85" s="6" t="n">
        <f aca="false">B84</f>
        <v>83</v>
      </c>
      <c r="G85" s="7" t="str">
        <f aca="false">_xlfn.CONCAT("X",B85)</f>
        <v>X84</v>
      </c>
      <c r="H85" s="6" t="n">
        <f aca="false">C85-C84</f>
        <v>2.19000000000233</v>
      </c>
      <c r="I85" s="6" t="n">
        <f aca="false">D85-D84</f>
        <v>-7.64999999944121</v>
      </c>
      <c r="J85" s="6" t="n">
        <f aca="false">E85-E84</f>
        <v>-2.80000000000018</v>
      </c>
    </row>
    <row r="86" customFormat="false" ht="12.8" hidden="false" customHeight="false" outlineLevel="0" collapsed="false">
      <c r="A86" s="6" t="s">
        <v>5</v>
      </c>
      <c r="B86" s="1" t="n">
        <v>85</v>
      </c>
      <c r="C86" s="2" t="n">
        <v>351942.15</v>
      </c>
      <c r="D86" s="2" t="n">
        <v>5266017.9</v>
      </c>
      <c r="E86" s="2" t="n">
        <v>2331</v>
      </c>
      <c r="F86" s="6" t="n">
        <f aca="false">B85</f>
        <v>84</v>
      </c>
      <c r="G86" s="7" t="str">
        <f aca="false">_xlfn.CONCAT("X",B86)</f>
        <v>X85</v>
      </c>
      <c r="H86" s="6" t="n">
        <f aca="false">C86-C85</f>
        <v>2.35000000003492</v>
      </c>
      <c r="I86" s="6" t="n">
        <f aca="false">D86-D85</f>
        <v>-5.87999999988824</v>
      </c>
      <c r="J86" s="6" t="n">
        <f aca="false">E86-E85</f>
        <v>-0.699999999999818</v>
      </c>
    </row>
    <row r="87" customFormat="false" ht="12.8" hidden="false" customHeight="false" outlineLevel="0" collapsed="false">
      <c r="A87" s="6" t="s">
        <v>5</v>
      </c>
      <c r="B87" s="1" t="n">
        <v>86</v>
      </c>
      <c r="C87" s="2" t="n">
        <v>351943.97</v>
      </c>
      <c r="D87" s="2" t="n">
        <v>5266012.31</v>
      </c>
      <c r="E87" s="2" t="n">
        <v>2329.6</v>
      </c>
      <c r="F87" s="6" t="n">
        <f aca="false">B86</f>
        <v>85</v>
      </c>
      <c r="G87" s="7" t="str">
        <f aca="false">_xlfn.CONCAT("X",B87)</f>
        <v>X86</v>
      </c>
      <c r="H87" s="6" t="n">
        <f aca="false">C87-C86</f>
        <v>1.81999999994878</v>
      </c>
      <c r="I87" s="6" t="n">
        <f aca="false">D87-D86</f>
        <v>-5.59000000078231</v>
      </c>
      <c r="J87" s="6" t="n">
        <f aca="false">E87-E86</f>
        <v>-1.40000000000009</v>
      </c>
    </row>
    <row r="88" customFormat="false" ht="12.8" hidden="false" customHeight="false" outlineLevel="0" collapsed="false">
      <c r="A88" s="6" t="s">
        <v>5</v>
      </c>
      <c r="B88" s="1" t="n">
        <v>87</v>
      </c>
      <c r="C88" s="2" t="n">
        <v>351946.23</v>
      </c>
      <c r="D88" s="2" t="n">
        <v>5266002.73</v>
      </c>
      <c r="E88" s="2" t="n">
        <v>2326.2</v>
      </c>
      <c r="F88" s="6" t="n">
        <f aca="false">B87</f>
        <v>86</v>
      </c>
      <c r="G88" s="7" t="str">
        <f aca="false">_xlfn.CONCAT("X",B88)</f>
        <v>X87</v>
      </c>
      <c r="H88" s="6" t="n">
        <f aca="false">C88-C87</f>
        <v>2.26000000000931</v>
      </c>
      <c r="I88" s="6" t="n">
        <f aca="false">D88-D87</f>
        <v>-9.57999999914318</v>
      </c>
      <c r="J88" s="6" t="n">
        <f aca="false">E88-E87</f>
        <v>-3.40000000000009</v>
      </c>
    </row>
    <row r="89" customFormat="false" ht="12.8" hidden="false" customHeight="false" outlineLevel="0" collapsed="false">
      <c r="A89" s="6" t="s">
        <v>5</v>
      </c>
      <c r="B89" s="1" t="n">
        <v>88</v>
      </c>
      <c r="C89" s="2" t="n">
        <v>351949.73</v>
      </c>
      <c r="D89" s="2" t="n">
        <v>5265992.86</v>
      </c>
      <c r="E89" s="2" t="n">
        <v>2323.9</v>
      </c>
      <c r="F89" s="6" t="n">
        <f aca="false">B88</f>
        <v>87</v>
      </c>
      <c r="G89" s="7" t="str">
        <f aca="false">_xlfn.CONCAT("X",B89)</f>
        <v>X88</v>
      </c>
      <c r="H89" s="6" t="n">
        <f aca="false">C89-C88</f>
        <v>3.5</v>
      </c>
      <c r="I89" s="6" t="n">
        <f aca="false">D89-D88</f>
        <v>-9.87000000011176</v>
      </c>
      <c r="J89" s="6" t="n">
        <f aca="false">E89-E88</f>
        <v>-2.29999999999973</v>
      </c>
    </row>
    <row r="90" customFormat="false" ht="12.8" hidden="false" customHeight="false" outlineLevel="0" collapsed="false">
      <c r="A90" s="6" t="s">
        <v>5</v>
      </c>
      <c r="B90" s="1" t="n">
        <v>89</v>
      </c>
      <c r="C90" s="2" t="n">
        <v>351951.27</v>
      </c>
      <c r="D90" s="2" t="n">
        <v>5265986.65</v>
      </c>
      <c r="E90" s="2" t="n">
        <v>2322.3</v>
      </c>
      <c r="F90" s="6" t="n">
        <f aca="false">B89</f>
        <v>88</v>
      </c>
      <c r="G90" s="7" t="str">
        <f aca="false">_xlfn.CONCAT("X",B90)</f>
        <v>X89</v>
      </c>
      <c r="H90" s="6" t="n">
        <f aca="false">C90-C89</f>
        <v>1.54000000003725</v>
      </c>
      <c r="I90" s="6" t="n">
        <f aca="false">D90-D89</f>
        <v>-6.20999999996275</v>
      </c>
      <c r="J90" s="6" t="n">
        <f aca="false">E90-E89</f>
        <v>-1.59999999999991</v>
      </c>
    </row>
    <row r="91" customFormat="false" ht="12.8" hidden="false" customHeight="false" outlineLevel="0" collapsed="false">
      <c r="A91" s="6" t="s">
        <v>5</v>
      </c>
      <c r="B91" s="1" t="n">
        <v>90</v>
      </c>
      <c r="C91" s="2" t="n">
        <v>351951.82</v>
      </c>
      <c r="D91" s="2" t="n">
        <v>5265983.28</v>
      </c>
      <c r="E91" s="2" t="n">
        <v>2321.3</v>
      </c>
      <c r="F91" s="6" t="n">
        <f aca="false">B90</f>
        <v>89</v>
      </c>
      <c r="G91" s="7" t="str">
        <f aca="false">_xlfn.CONCAT("X",B91)</f>
        <v>X90</v>
      </c>
      <c r="H91" s="6" t="n">
        <f aca="false">C91-C90</f>
        <v>0.549999999988359</v>
      </c>
      <c r="I91" s="6" t="n">
        <f aca="false">D91-D90</f>
        <v>-3.37000000011176</v>
      </c>
      <c r="J91" s="6" t="n">
        <f aca="false">E91-E90</f>
        <v>-1</v>
      </c>
    </row>
    <row r="92" customFormat="false" ht="12.8" hidden="false" customHeight="false" outlineLevel="0" collapsed="false">
      <c r="A92" s="6" t="s">
        <v>5</v>
      </c>
      <c r="B92" s="1" t="n">
        <v>91</v>
      </c>
      <c r="C92" s="2" t="n">
        <v>351953.43</v>
      </c>
      <c r="D92" s="2" t="n">
        <v>5265976.1</v>
      </c>
      <c r="E92" s="2" t="n">
        <v>2318.4</v>
      </c>
      <c r="F92" s="6" t="n">
        <f aca="false">B91</f>
        <v>90</v>
      </c>
      <c r="G92" s="7" t="str">
        <f aca="false">_xlfn.CONCAT("X",B92)</f>
        <v>X91</v>
      </c>
      <c r="H92" s="6" t="n">
        <f aca="false">C92-C91</f>
        <v>1.60999999998603</v>
      </c>
      <c r="I92" s="6" t="n">
        <f aca="false">D92-D91</f>
        <v>-7.1800000006333</v>
      </c>
      <c r="J92" s="6" t="n">
        <f aca="false">E92-E91</f>
        <v>-2.90000000000009</v>
      </c>
    </row>
    <row r="93" customFormat="false" ht="12.8" hidden="false" customHeight="false" outlineLevel="0" collapsed="false">
      <c r="A93" s="6" t="s">
        <v>5</v>
      </c>
      <c r="B93" s="1" t="n">
        <v>92</v>
      </c>
      <c r="C93" s="2" t="n">
        <v>351954.94</v>
      </c>
      <c r="D93" s="2" t="n">
        <v>5265973.87</v>
      </c>
      <c r="E93" s="2" t="n">
        <v>2316.7</v>
      </c>
      <c r="F93" s="6" t="n">
        <f aca="false">B92</f>
        <v>91</v>
      </c>
      <c r="G93" s="7" t="str">
        <f aca="false">_xlfn.CONCAT("X",B93)</f>
        <v>X92</v>
      </c>
      <c r="H93" s="6" t="n">
        <f aca="false">C93-C92</f>
        <v>1.51000000000931</v>
      </c>
      <c r="I93" s="6" t="n">
        <f aca="false">D93-D92</f>
        <v>-2.22999999951571</v>
      </c>
      <c r="J93" s="6" t="n">
        <f aca="false">E93-E92</f>
        <v>-1.70000000000027</v>
      </c>
    </row>
    <row r="94" customFormat="false" ht="12.8" hidden="false" customHeight="false" outlineLevel="0" collapsed="false">
      <c r="A94" s="6" t="s">
        <v>5</v>
      </c>
      <c r="B94" s="1" t="n">
        <v>93</v>
      </c>
      <c r="C94" s="2" t="n">
        <v>351959.21</v>
      </c>
      <c r="D94" s="2" t="n">
        <v>5265969.34</v>
      </c>
      <c r="E94" s="2" t="n">
        <v>2314.5</v>
      </c>
      <c r="F94" s="6" t="n">
        <f aca="false">B93</f>
        <v>92</v>
      </c>
      <c r="G94" s="7" t="str">
        <f aca="false">_xlfn.CONCAT("X",B94)</f>
        <v>X93</v>
      </c>
      <c r="H94" s="6" t="n">
        <f aca="false">C94-C93</f>
        <v>4.27000000001863</v>
      </c>
      <c r="I94" s="6" t="n">
        <f aca="false">D94-D93</f>
        <v>-4.53000000026077</v>
      </c>
      <c r="J94" s="6" t="n">
        <f aca="false">E94-E93</f>
        <v>-2.19999999999982</v>
      </c>
    </row>
    <row r="95" customFormat="false" ht="12.8" hidden="false" customHeight="false" outlineLevel="0" collapsed="false">
      <c r="A95" s="6" t="s">
        <v>5</v>
      </c>
      <c r="B95" s="1" t="n">
        <v>94</v>
      </c>
      <c r="C95" s="2" t="n">
        <v>351962.33</v>
      </c>
      <c r="D95" s="2" t="n">
        <v>5265966.96</v>
      </c>
      <c r="E95" s="2" t="n">
        <v>2307.5</v>
      </c>
      <c r="F95" s="6" t="n">
        <f aca="false">B94</f>
        <v>93</v>
      </c>
      <c r="G95" s="7" t="str">
        <f aca="false">_xlfn.CONCAT("X",B95)</f>
        <v>X94</v>
      </c>
      <c r="H95" s="6" t="n">
        <f aca="false">C95-C94</f>
        <v>3.11999999999534</v>
      </c>
      <c r="I95" s="6" t="n">
        <f aca="false">D95-D94</f>
        <v>-2.37999999988824</v>
      </c>
      <c r="J95" s="6" t="n">
        <f aca="false">E95-E94</f>
        <v>-7</v>
      </c>
    </row>
    <row r="96" customFormat="false" ht="12.8" hidden="false" customHeight="false" outlineLevel="0" collapsed="false">
      <c r="A96" s="6" t="s">
        <v>5</v>
      </c>
      <c r="B96" s="1" t="n">
        <v>95</v>
      </c>
      <c r="C96" s="2" t="n">
        <v>351968.78</v>
      </c>
      <c r="D96" s="2" t="n">
        <v>5265962.46</v>
      </c>
      <c r="E96" s="2" t="n">
        <v>2311.1</v>
      </c>
      <c r="F96" s="6" t="n">
        <f aca="false">B95</f>
        <v>94</v>
      </c>
      <c r="G96" s="7" t="str">
        <f aca="false">_xlfn.CONCAT("X",B96)</f>
        <v>X95</v>
      </c>
      <c r="H96" s="6" t="n">
        <f aca="false">C96-C95</f>
        <v>6.45000000001164</v>
      </c>
      <c r="I96" s="6" t="n">
        <f aca="false">D96-D95</f>
        <v>-4.5</v>
      </c>
      <c r="J96" s="6" t="n">
        <f aca="false">E96-E95</f>
        <v>3.59999999999991</v>
      </c>
    </row>
    <row r="97" customFormat="false" ht="12.8" hidden="false" customHeight="false" outlineLevel="0" collapsed="false">
      <c r="A97" s="6" t="s">
        <v>5</v>
      </c>
      <c r="B97" s="1" t="n">
        <v>96</v>
      </c>
      <c r="C97" s="2" t="n">
        <v>351971.03</v>
      </c>
      <c r="D97" s="2" t="n">
        <v>5265959.56</v>
      </c>
      <c r="E97" s="2" t="n">
        <v>2312.4</v>
      </c>
      <c r="F97" s="6" t="n">
        <f aca="false">B96</f>
        <v>95</v>
      </c>
      <c r="G97" s="7" t="str">
        <f aca="false">_xlfn.CONCAT("X",B97)</f>
        <v>X96</v>
      </c>
      <c r="H97" s="6" t="n">
        <f aca="false">C97-C96</f>
        <v>2.25</v>
      </c>
      <c r="I97" s="6" t="n">
        <f aca="false">D97-D96</f>
        <v>-2.90000000037253</v>
      </c>
      <c r="J97" s="6" t="n">
        <f aca="false">E97-E96</f>
        <v>1.30000000000018</v>
      </c>
    </row>
    <row r="98" customFormat="false" ht="12.8" hidden="false" customHeight="false" outlineLevel="0" collapsed="false">
      <c r="A98" s="6" t="s">
        <v>5</v>
      </c>
      <c r="B98" s="1" t="n">
        <v>97</v>
      </c>
      <c r="C98" s="2" t="n">
        <v>351973.49</v>
      </c>
      <c r="D98" s="2" t="n">
        <v>5265957.2</v>
      </c>
      <c r="E98" s="2" t="n">
        <v>2312.3</v>
      </c>
      <c r="F98" s="6" t="n">
        <f aca="false">B97</f>
        <v>96</v>
      </c>
      <c r="G98" s="7" t="str">
        <f aca="false">_xlfn.CONCAT("X",B98)</f>
        <v>X97</v>
      </c>
      <c r="H98" s="6" t="n">
        <f aca="false">C98-C97</f>
        <v>2.45999999996275</v>
      </c>
      <c r="I98" s="6" t="n">
        <f aca="false">D98-D97</f>
        <v>-2.35999999940395</v>
      </c>
      <c r="J98" s="6" t="n">
        <f aca="false">E98-E97</f>
        <v>-0.0999999999999091</v>
      </c>
    </row>
    <row r="99" customFormat="false" ht="12.8" hidden="false" customHeight="false" outlineLevel="0" collapsed="false">
      <c r="A99" s="6" t="s">
        <v>5</v>
      </c>
      <c r="B99" s="1" t="n">
        <v>98</v>
      </c>
      <c r="C99" s="2" t="n">
        <v>351976.63</v>
      </c>
      <c r="D99" s="2" t="n">
        <v>5265955.28</v>
      </c>
      <c r="E99" s="2" t="n">
        <v>2312</v>
      </c>
      <c r="F99" s="6" t="n">
        <f aca="false">B98</f>
        <v>97</v>
      </c>
      <c r="G99" s="7" t="str">
        <f aca="false">_xlfn.CONCAT("X",B99)</f>
        <v>X98</v>
      </c>
      <c r="H99" s="6" t="n">
        <f aca="false">C99-C98</f>
        <v>3.14000000001397</v>
      </c>
      <c r="I99" s="6" t="n">
        <f aca="false">D99-D98</f>
        <v>-1.91999999992549</v>
      </c>
      <c r="J99" s="6" t="n">
        <f aca="false">E99-E98</f>
        <v>-0.300000000000182</v>
      </c>
    </row>
    <row r="100" customFormat="false" ht="12.8" hidden="false" customHeight="false" outlineLevel="0" collapsed="false">
      <c r="A100" s="6" t="s">
        <v>5</v>
      </c>
      <c r="B100" s="1" t="n">
        <v>99</v>
      </c>
      <c r="C100" s="2" t="n">
        <v>351980.51</v>
      </c>
      <c r="D100" s="2" t="n">
        <v>5265954.53</v>
      </c>
      <c r="E100" s="2" t="n">
        <v>2311.9</v>
      </c>
      <c r="F100" s="6" t="n">
        <f aca="false">B99</f>
        <v>98</v>
      </c>
      <c r="G100" s="7" t="str">
        <f aca="false">_xlfn.CONCAT("X",B100)</f>
        <v>X99</v>
      </c>
      <c r="H100" s="6" t="n">
        <f aca="false">C100-C99</f>
        <v>3.88000000000466</v>
      </c>
      <c r="I100" s="6" t="n">
        <f aca="false">D100-D99</f>
        <v>-0.75</v>
      </c>
      <c r="J100" s="6" t="n">
        <f aca="false">E100-E99</f>
        <v>-0.0999999999999091</v>
      </c>
    </row>
    <row r="101" customFormat="false" ht="12.8" hidden="false" customHeight="false" outlineLevel="0" collapsed="false">
      <c r="A101" s="6" t="s">
        <v>5</v>
      </c>
      <c r="B101" s="1" t="n">
        <v>100</v>
      </c>
      <c r="C101" s="2" t="n">
        <v>351983.94</v>
      </c>
      <c r="D101" s="2" t="n">
        <v>5265953.73</v>
      </c>
      <c r="E101" s="2" t="n">
        <v>2313.1</v>
      </c>
      <c r="F101" s="6" t="n">
        <f aca="false">B100</f>
        <v>99</v>
      </c>
      <c r="G101" s="7" t="str">
        <f aca="false">_xlfn.CONCAT("X",B101)</f>
        <v>X100</v>
      </c>
      <c r="H101" s="6" t="n">
        <f aca="false">C101-C100</f>
        <v>3.42999999999302</v>
      </c>
      <c r="I101" s="6" t="n">
        <f aca="false">D101-D100</f>
        <v>-0.799999999813736</v>
      </c>
      <c r="J101" s="6" t="n">
        <f aca="false">E101-E100</f>
        <v>1.19999999999982</v>
      </c>
    </row>
    <row r="102" customFormat="false" ht="12.8" hidden="false" customHeight="false" outlineLevel="0" collapsed="false">
      <c r="A102" s="6" t="s">
        <v>5</v>
      </c>
      <c r="B102" s="1" t="n">
        <v>101</v>
      </c>
      <c r="C102" s="2" t="n">
        <v>351994.95</v>
      </c>
      <c r="D102" s="2" t="n">
        <v>5265948.67</v>
      </c>
      <c r="E102" s="2" t="n">
        <v>2315.1</v>
      </c>
      <c r="F102" s="6" t="n">
        <f aca="false">B101</f>
        <v>100</v>
      </c>
      <c r="G102" s="7" t="str">
        <f aca="false">_xlfn.CONCAT("X",B102)</f>
        <v>X101</v>
      </c>
      <c r="H102" s="6" t="n">
        <f aca="false">C102-C101</f>
        <v>11.0100000000093</v>
      </c>
      <c r="I102" s="6" t="n">
        <f aca="false">D102-D101</f>
        <v>-5.06000000052154</v>
      </c>
      <c r="J102" s="6" t="n">
        <f aca="false">E102-E101</f>
        <v>2</v>
      </c>
    </row>
    <row r="103" customFormat="false" ht="12.8" hidden="false" customHeight="false" outlineLevel="0" collapsed="false">
      <c r="A103" s="6" t="s">
        <v>5</v>
      </c>
      <c r="B103" s="1" t="n">
        <v>102</v>
      </c>
      <c r="C103" s="2" t="n">
        <v>351997.69</v>
      </c>
      <c r="D103" s="2" t="n">
        <v>5265946.95</v>
      </c>
      <c r="E103" s="2" t="n">
        <v>2315.3</v>
      </c>
      <c r="F103" s="6" t="n">
        <f aca="false">B102</f>
        <v>101</v>
      </c>
      <c r="G103" s="7" t="str">
        <f aca="false">_xlfn.CONCAT("X",B103)</f>
        <v>X102</v>
      </c>
      <c r="H103" s="6" t="n">
        <f aca="false">C103-C102</f>
        <v>2.73999999999069</v>
      </c>
      <c r="I103" s="6" t="n">
        <f aca="false">D103-D102</f>
        <v>-1.71999999973923</v>
      </c>
      <c r="J103" s="6" t="n">
        <f aca="false">E103-E102</f>
        <v>0.200000000000273</v>
      </c>
    </row>
    <row r="104" customFormat="false" ht="12.8" hidden="false" customHeight="false" outlineLevel="0" collapsed="false">
      <c r="A104" s="6" t="s">
        <v>5</v>
      </c>
      <c r="B104" s="1" t="n">
        <v>103</v>
      </c>
      <c r="C104" s="2" t="n">
        <v>352001.53</v>
      </c>
      <c r="D104" s="2" t="n">
        <v>5265944.16</v>
      </c>
      <c r="E104" s="2" t="n">
        <v>2315.1</v>
      </c>
      <c r="F104" s="6" t="n">
        <f aca="false">B103</f>
        <v>102</v>
      </c>
      <c r="G104" s="7" t="str">
        <f aca="false">_xlfn.CONCAT("X",B104)</f>
        <v>X103</v>
      </c>
      <c r="H104" s="6" t="n">
        <f aca="false">C104-C103</f>
        <v>3.84000000002561</v>
      </c>
      <c r="I104" s="6" t="n">
        <f aca="false">D104-D103</f>
        <v>-2.79000000003725</v>
      </c>
      <c r="J104" s="6" t="n">
        <f aca="false">E104-E103</f>
        <v>-0.200000000000273</v>
      </c>
    </row>
    <row r="105" customFormat="false" ht="12.8" hidden="false" customHeight="false" outlineLevel="0" collapsed="false">
      <c r="A105" s="6" t="s">
        <v>5</v>
      </c>
      <c r="B105" s="1" t="n">
        <v>104</v>
      </c>
      <c r="C105" s="2" t="n">
        <v>352002.9</v>
      </c>
      <c r="D105" s="2" t="n">
        <v>5265943.47</v>
      </c>
      <c r="E105" s="2" t="n">
        <v>2315</v>
      </c>
      <c r="F105" s="6" t="n">
        <f aca="false">B104</f>
        <v>103</v>
      </c>
      <c r="G105" s="7" t="str">
        <f aca="false">_xlfn.CONCAT("X",B105)</f>
        <v>X104</v>
      </c>
      <c r="H105" s="6" t="n">
        <f aca="false">C105-C104</f>
        <v>1.36999999999534</v>
      </c>
      <c r="I105" s="6" t="n">
        <f aca="false">D105-D104</f>
        <v>-0.690000000409782</v>
      </c>
      <c r="J105" s="6" t="n">
        <f aca="false">E105-E104</f>
        <v>-0.0999999999999091</v>
      </c>
    </row>
    <row r="106" customFormat="false" ht="12.8" hidden="false" customHeight="false" outlineLevel="0" collapsed="false">
      <c r="A106" s="6" t="s">
        <v>5</v>
      </c>
      <c r="B106" s="1" t="n">
        <v>105</v>
      </c>
      <c r="C106" s="2" t="n">
        <v>352015.85</v>
      </c>
      <c r="D106" s="2" t="n">
        <v>5265942.79</v>
      </c>
      <c r="E106" s="2" t="n">
        <v>2316.5</v>
      </c>
      <c r="F106" s="6" t="n">
        <f aca="false">B105</f>
        <v>104</v>
      </c>
      <c r="G106" s="7" t="str">
        <f aca="false">_xlfn.CONCAT("X",B106)</f>
        <v>X105</v>
      </c>
      <c r="H106" s="6" t="n">
        <f aca="false">C106-C105</f>
        <v>12.9499999999534</v>
      </c>
      <c r="I106" s="6" t="n">
        <f aca="false">D106-D105</f>
        <v>-0.679999999701977</v>
      </c>
      <c r="J106" s="6" t="n">
        <f aca="false">E106-E105</f>
        <v>1.5</v>
      </c>
    </row>
    <row r="107" customFormat="false" ht="12.8" hidden="false" customHeight="false" outlineLevel="0" collapsed="false">
      <c r="A107" s="6" t="s">
        <v>5</v>
      </c>
      <c r="B107" s="1" t="n">
        <v>106</v>
      </c>
      <c r="C107" s="2" t="n">
        <v>352019.2</v>
      </c>
      <c r="D107" s="2" t="n">
        <v>5265941.66</v>
      </c>
      <c r="E107" s="2" t="n">
        <v>2316.4</v>
      </c>
      <c r="F107" s="6" t="n">
        <f aca="false">B106</f>
        <v>105</v>
      </c>
      <c r="G107" s="7" t="str">
        <f aca="false">_xlfn.CONCAT("X",B107)</f>
        <v>X106</v>
      </c>
      <c r="H107" s="6" t="n">
        <f aca="false">C107-C106</f>
        <v>3.35000000003492</v>
      </c>
      <c r="I107" s="6" t="n">
        <f aca="false">D107-D106</f>
        <v>-1.12999999988824</v>
      </c>
      <c r="J107" s="6" t="n">
        <f aca="false">E107-E106</f>
        <v>-0.0999999999999091</v>
      </c>
    </row>
    <row r="108" customFormat="false" ht="12.8" hidden="false" customHeight="false" outlineLevel="0" collapsed="false">
      <c r="A108" s="6" t="s">
        <v>5</v>
      </c>
      <c r="B108" s="1" t="n">
        <v>107</v>
      </c>
      <c r="C108" s="2" t="n">
        <v>352020.81</v>
      </c>
      <c r="D108" s="2" t="n">
        <v>5265939.78</v>
      </c>
      <c r="E108" s="2" t="n">
        <v>2316.3</v>
      </c>
      <c r="F108" s="6" t="n">
        <f aca="false">B107</f>
        <v>106</v>
      </c>
      <c r="G108" s="7" t="str">
        <f aca="false">_xlfn.CONCAT("X",B108)</f>
        <v>X107</v>
      </c>
      <c r="H108" s="6" t="n">
        <f aca="false">C108-C107</f>
        <v>1.60999999998603</v>
      </c>
      <c r="I108" s="6" t="n">
        <f aca="false">D108-D107</f>
        <v>-1.87999999988824</v>
      </c>
      <c r="J108" s="6" t="n">
        <f aca="false">E108-E107</f>
        <v>-0.0999999999999091</v>
      </c>
    </row>
    <row r="109" customFormat="false" ht="12.8" hidden="false" customHeight="false" outlineLevel="0" collapsed="false">
      <c r="A109" s="6" t="s">
        <v>5</v>
      </c>
      <c r="B109" s="1" t="n">
        <v>108</v>
      </c>
      <c r="C109" s="2" t="n">
        <v>352023.02</v>
      </c>
      <c r="D109" s="2" t="n">
        <v>5265937.81</v>
      </c>
      <c r="E109" s="2" t="n">
        <v>2316.2</v>
      </c>
      <c r="F109" s="6" t="n">
        <f aca="false">B108</f>
        <v>107</v>
      </c>
      <c r="G109" s="7" t="str">
        <f aca="false">_xlfn.CONCAT("X",B109)</f>
        <v>X108</v>
      </c>
      <c r="H109" s="6" t="n">
        <f aca="false">C109-C108</f>
        <v>2.21000000002095</v>
      </c>
      <c r="I109" s="6" t="n">
        <f aca="false">D109-D108</f>
        <v>-1.97000000067055</v>
      </c>
      <c r="J109" s="6" t="n">
        <f aca="false">E109-E108</f>
        <v>-0.100000000000364</v>
      </c>
    </row>
    <row r="110" customFormat="false" ht="12.8" hidden="false" customHeight="false" outlineLevel="0" collapsed="false">
      <c r="A110" s="6" t="s">
        <v>5</v>
      </c>
      <c r="B110" s="1" t="n">
        <v>109</v>
      </c>
      <c r="C110" s="2" t="n">
        <v>352031.44</v>
      </c>
      <c r="D110" s="2" t="n">
        <v>5265934.85</v>
      </c>
      <c r="E110" s="2" t="n">
        <v>2314.5</v>
      </c>
      <c r="F110" s="6" t="n">
        <f aca="false">B109</f>
        <v>108</v>
      </c>
      <c r="G110" s="7" t="str">
        <f aca="false">_xlfn.CONCAT("X",B110)</f>
        <v>X109</v>
      </c>
      <c r="H110" s="6" t="n">
        <f aca="false">C110-C109</f>
        <v>8.4199999999837</v>
      </c>
      <c r="I110" s="6" t="n">
        <f aca="false">D110-D109</f>
        <v>-2.95999999996275</v>
      </c>
      <c r="J110" s="6" t="n">
        <f aca="false">E110-E109</f>
        <v>-1.69999999999982</v>
      </c>
    </row>
    <row r="111" customFormat="false" ht="12.8" hidden="false" customHeight="false" outlineLevel="0" collapsed="false">
      <c r="A111" s="6" t="s">
        <v>5</v>
      </c>
      <c r="B111" s="1" t="n">
        <v>110</v>
      </c>
      <c r="C111" s="2" t="n">
        <v>352032.94</v>
      </c>
      <c r="D111" s="2" t="n">
        <v>5265933.76</v>
      </c>
      <c r="E111" s="2" t="n">
        <v>2314.3</v>
      </c>
      <c r="F111" s="6" t="n">
        <f aca="false">B110</f>
        <v>109</v>
      </c>
      <c r="G111" s="7" t="str">
        <f aca="false">_xlfn.CONCAT("X",B111)</f>
        <v>X110</v>
      </c>
      <c r="H111" s="6" t="n">
        <f aca="false">C111-C110</f>
        <v>1.5</v>
      </c>
      <c r="I111" s="6" t="n">
        <f aca="false">D111-D110</f>
        <v>-1.08999999985099</v>
      </c>
      <c r="J111" s="6" t="n">
        <f aca="false">E111-E110</f>
        <v>-0.199999999999818</v>
      </c>
    </row>
    <row r="112" customFormat="false" ht="12.8" hidden="false" customHeight="false" outlineLevel="0" collapsed="false">
      <c r="A112" s="6" t="s">
        <v>5</v>
      </c>
      <c r="B112" s="1" t="n">
        <v>111</v>
      </c>
      <c r="C112" s="2" t="n">
        <v>352033.76</v>
      </c>
      <c r="D112" s="2" t="n">
        <v>5265932.22</v>
      </c>
      <c r="E112" s="2" t="n">
        <v>2314.5</v>
      </c>
      <c r="F112" s="6" t="n">
        <f aca="false">B111</f>
        <v>110</v>
      </c>
      <c r="G112" s="7" t="str">
        <f aca="false">_xlfn.CONCAT("X",B112)</f>
        <v>X111</v>
      </c>
      <c r="H112" s="6" t="n">
        <f aca="false">C112-C111</f>
        <v>0.820000000006985</v>
      </c>
      <c r="I112" s="6" t="n">
        <f aca="false">D112-D111</f>
        <v>-1.54000000003725</v>
      </c>
      <c r="J112" s="6" t="n">
        <f aca="false">E112-E111</f>
        <v>0.199999999999818</v>
      </c>
    </row>
    <row r="113" customFormat="false" ht="12.8" hidden="false" customHeight="false" outlineLevel="0" collapsed="false">
      <c r="A113" s="6" t="s">
        <v>5</v>
      </c>
      <c r="B113" s="1" t="n">
        <v>112</v>
      </c>
      <c r="C113" s="2" t="n">
        <v>352034.7</v>
      </c>
      <c r="D113" s="2" t="n">
        <v>5265929.56</v>
      </c>
      <c r="E113" s="2" t="n">
        <v>2314.6</v>
      </c>
      <c r="F113" s="6" t="n">
        <f aca="false">B112</f>
        <v>111</v>
      </c>
      <c r="G113" s="7" t="str">
        <f aca="false">_xlfn.CONCAT("X",B113)</f>
        <v>X112</v>
      </c>
      <c r="H113" s="6" t="n">
        <f aca="false">C113-C112</f>
        <v>0.940000000002328</v>
      </c>
      <c r="I113" s="6" t="n">
        <f aca="false">D113-D112</f>
        <v>-2.66000000014901</v>
      </c>
      <c r="J113" s="6" t="n">
        <f aca="false">E113-E112</f>
        <v>0.0999999999999091</v>
      </c>
    </row>
    <row r="114" customFormat="false" ht="12.8" hidden="false" customHeight="false" outlineLevel="0" collapsed="false">
      <c r="A114" s="6" t="s">
        <v>5</v>
      </c>
      <c r="B114" s="1" t="n">
        <v>113</v>
      </c>
      <c r="C114" s="2" t="n">
        <v>352035.5</v>
      </c>
      <c r="D114" s="2" t="n">
        <v>5265923.72</v>
      </c>
      <c r="E114" s="2" t="n">
        <v>2313.4</v>
      </c>
      <c r="F114" s="6" t="n">
        <f aca="false">B113</f>
        <v>112</v>
      </c>
      <c r="G114" s="7" t="str">
        <f aca="false">_xlfn.CONCAT("X",B114)</f>
        <v>X113</v>
      </c>
      <c r="H114" s="6" t="n">
        <f aca="false">C114-C113</f>
        <v>0.799999999988359</v>
      </c>
      <c r="I114" s="6" t="n">
        <f aca="false">D114-D113</f>
        <v>-5.83999999985099</v>
      </c>
      <c r="J114" s="6" t="n">
        <f aca="false">E114-E113</f>
        <v>-1.19999999999982</v>
      </c>
    </row>
    <row r="115" customFormat="false" ht="12.8" hidden="false" customHeight="false" outlineLevel="0" collapsed="false">
      <c r="A115" s="6" t="s">
        <v>5</v>
      </c>
      <c r="B115" s="1" t="n">
        <v>114</v>
      </c>
      <c r="C115" s="2" t="n">
        <v>352036.96</v>
      </c>
      <c r="D115" s="2" t="n">
        <v>5265920.78</v>
      </c>
      <c r="E115" s="2" t="n">
        <v>2311.9</v>
      </c>
      <c r="F115" s="6" t="n">
        <f aca="false">B114</f>
        <v>113</v>
      </c>
      <c r="G115" s="7" t="str">
        <f aca="false">_xlfn.CONCAT("X",B115)</f>
        <v>X114</v>
      </c>
      <c r="H115" s="6" t="n">
        <f aca="false">C115-C114</f>
        <v>1.46000000002095</v>
      </c>
      <c r="I115" s="6" t="n">
        <f aca="false">D115-D114</f>
        <v>-2.93999999947846</v>
      </c>
      <c r="J115" s="6" t="n">
        <f aca="false">E115-E114</f>
        <v>-1.5</v>
      </c>
    </row>
    <row r="116" customFormat="false" ht="12.8" hidden="false" customHeight="false" outlineLevel="0" collapsed="false">
      <c r="A116" s="6" t="s">
        <v>5</v>
      </c>
      <c r="B116" s="1" t="n">
        <v>115</v>
      </c>
      <c r="C116" s="2" t="n">
        <v>352038.71</v>
      </c>
      <c r="D116" s="2" t="n">
        <v>5265919.22</v>
      </c>
      <c r="E116" s="2" t="n">
        <v>2310.2</v>
      </c>
      <c r="F116" s="6" t="n">
        <f aca="false">B115</f>
        <v>114</v>
      </c>
      <c r="G116" s="7" t="str">
        <f aca="false">_xlfn.CONCAT("X",B116)</f>
        <v>X115</v>
      </c>
      <c r="H116" s="6" t="n">
        <f aca="false">C116-C115</f>
        <v>1.75</v>
      </c>
      <c r="I116" s="6" t="n">
        <f aca="false">D116-D115</f>
        <v>-1.56000000052154</v>
      </c>
      <c r="J116" s="6" t="n">
        <f aca="false">E116-E115</f>
        <v>-1.70000000000027</v>
      </c>
    </row>
    <row r="117" customFormat="false" ht="12.8" hidden="false" customHeight="false" outlineLevel="0" collapsed="false">
      <c r="A117" s="6" t="s">
        <v>5</v>
      </c>
      <c r="B117" s="1" t="n">
        <v>116</v>
      </c>
      <c r="C117" s="2" t="n">
        <v>352041</v>
      </c>
      <c r="D117" s="2" t="n">
        <v>5265917.98</v>
      </c>
      <c r="E117" s="2" t="n">
        <v>2308.5</v>
      </c>
      <c r="F117" s="6" t="n">
        <f aca="false">B116</f>
        <v>115</v>
      </c>
      <c r="G117" s="7" t="str">
        <f aca="false">_xlfn.CONCAT("X",B117)</f>
        <v>X116</v>
      </c>
      <c r="H117" s="6" t="n">
        <f aca="false">C117-C116</f>
        <v>2.28999999997905</v>
      </c>
      <c r="I117" s="6" t="n">
        <f aca="false">D117-D116</f>
        <v>-1.23999999929219</v>
      </c>
      <c r="J117" s="6" t="n">
        <f aca="false">E117-E116</f>
        <v>-1.69999999999982</v>
      </c>
    </row>
    <row r="118" customFormat="false" ht="12.8" hidden="false" customHeight="false" outlineLevel="0" collapsed="false">
      <c r="A118" s="6" t="s">
        <v>5</v>
      </c>
      <c r="B118" s="1" t="n">
        <v>117</v>
      </c>
      <c r="C118" s="2" t="n">
        <v>352044.02</v>
      </c>
      <c r="D118" s="2" t="n">
        <v>5265917.25</v>
      </c>
      <c r="E118" s="2" t="n">
        <v>2306.9</v>
      </c>
      <c r="F118" s="6" t="n">
        <f aca="false">B117</f>
        <v>116</v>
      </c>
      <c r="G118" s="7" t="str">
        <f aca="false">_xlfn.CONCAT("X",B118)</f>
        <v>X117</v>
      </c>
      <c r="H118" s="6" t="n">
        <f aca="false">C118-C117</f>
        <v>3.02000000001863</v>
      </c>
      <c r="I118" s="6" t="n">
        <f aca="false">D118-D117</f>
        <v>-0.730000000447035</v>
      </c>
      <c r="J118" s="6" t="n">
        <f aca="false">E118-E117</f>
        <v>-1.59999999999991</v>
      </c>
    </row>
    <row r="119" customFormat="false" ht="12.8" hidden="false" customHeight="false" outlineLevel="0" collapsed="false">
      <c r="A119" s="6" t="s">
        <v>5</v>
      </c>
      <c r="B119" s="1" t="n">
        <v>118</v>
      </c>
      <c r="C119" s="2" t="n">
        <v>352044.78</v>
      </c>
      <c r="D119" s="2" t="n">
        <v>5265915.58</v>
      </c>
      <c r="E119" s="2" t="n">
        <v>2306.2</v>
      </c>
      <c r="F119" s="6" t="n">
        <f aca="false">B118</f>
        <v>117</v>
      </c>
      <c r="G119" s="7" t="str">
        <f aca="false">_xlfn.CONCAT("X",B119)</f>
        <v>X118</v>
      </c>
      <c r="H119" s="6" t="n">
        <f aca="false">C119-C118</f>
        <v>0.760000000009313</v>
      </c>
      <c r="I119" s="6" t="n">
        <f aca="false">D119-D118</f>
        <v>-1.66999999992549</v>
      </c>
      <c r="J119" s="6" t="n">
        <f aca="false">E119-E118</f>
        <v>-0.700000000000273</v>
      </c>
    </row>
    <row r="120" customFormat="false" ht="12.8" hidden="false" customHeight="false" outlineLevel="0" collapsed="false">
      <c r="A120" s="6" t="s">
        <v>5</v>
      </c>
      <c r="B120" s="1" t="n">
        <v>119</v>
      </c>
      <c r="C120" s="2" t="n">
        <v>352045.81</v>
      </c>
      <c r="D120" s="2" t="n">
        <v>5265914.43</v>
      </c>
      <c r="E120" s="2" t="n">
        <v>2306.6</v>
      </c>
      <c r="F120" s="6" t="n">
        <f aca="false">B119</f>
        <v>118</v>
      </c>
      <c r="G120" s="7" t="str">
        <f aca="false">_xlfn.CONCAT("X",B120)</f>
        <v>X119</v>
      </c>
      <c r="H120" s="6" t="n">
        <f aca="false">C120-C119</f>
        <v>1.02999999996973</v>
      </c>
      <c r="I120" s="6" t="n">
        <f aca="false">D120-D119</f>
        <v>-1.15000000037253</v>
      </c>
      <c r="J120" s="6" t="n">
        <f aca="false">E120-E119</f>
        <v>0.400000000000091</v>
      </c>
    </row>
    <row r="121" customFormat="false" ht="12.8" hidden="false" customHeight="false" outlineLevel="0" collapsed="false">
      <c r="A121" s="6" t="s">
        <v>5</v>
      </c>
      <c r="B121" s="1" t="n">
        <v>120</v>
      </c>
      <c r="C121" s="2" t="n">
        <v>352048.89</v>
      </c>
      <c r="D121" s="2" t="n">
        <v>5265912.98</v>
      </c>
      <c r="E121" s="2" t="n">
        <v>2304.5</v>
      </c>
      <c r="F121" s="6" t="n">
        <f aca="false">B120</f>
        <v>119</v>
      </c>
      <c r="G121" s="7" t="str">
        <f aca="false">_xlfn.CONCAT("X",B121)</f>
        <v>X120</v>
      </c>
      <c r="H121" s="6" t="n">
        <f aca="false">C121-C120</f>
        <v>3.0800000000163</v>
      </c>
      <c r="I121" s="6" t="n">
        <f aca="false">D121-D120</f>
        <v>-1.44999999925494</v>
      </c>
      <c r="J121" s="6" t="n">
        <f aca="false">E121-E120</f>
        <v>-2.09999999999991</v>
      </c>
    </row>
    <row r="122" customFormat="false" ht="12.8" hidden="false" customHeight="false" outlineLevel="0" collapsed="false">
      <c r="A122" s="6" t="s">
        <v>5</v>
      </c>
      <c r="B122" s="1" t="n">
        <v>121</v>
      </c>
      <c r="C122" s="2" t="n">
        <v>352056.96</v>
      </c>
      <c r="D122" s="2" t="n">
        <v>5265910.03</v>
      </c>
      <c r="E122" s="2" t="n">
        <v>2298.7</v>
      </c>
      <c r="F122" s="6" t="n">
        <f aca="false">B121</f>
        <v>120</v>
      </c>
      <c r="G122" s="7" t="str">
        <f aca="false">_xlfn.CONCAT("X",B122)</f>
        <v>X121</v>
      </c>
      <c r="H122" s="6" t="n">
        <f aca="false">C122-C121</f>
        <v>8.07000000000699</v>
      </c>
      <c r="I122" s="6" t="n">
        <f aca="false">D122-D121</f>
        <v>-2.95000000018626</v>
      </c>
      <c r="J122" s="6" t="n">
        <f aca="false">E122-E121</f>
        <v>-5.80000000000018</v>
      </c>
    </row>
    <row r="123" customFormat="false" ht="12.8" hidden="false" customHeight="false" outlineLevel="0" collapsed="false">
      <c r="A123" s="6" t="s">
        <v>5</v>
      </c>
      <c r="B123" s="1" t="n">
        <v>122</v>
      </c>
      <c r="C123" s="2" t="n">
        <v>352076.66</v>
      </c>
      <c r="D123" s="2" t="n">
        <v>5265903.72</v>
      </c>
      <c r="E123" s="2" t="n">
        <v>2290</v>
      </c>
      <c r="F123" s="6" t="n">
        <f aca="false">B122</f>
        <v>121</v>
      </c>
      <c r="G123" s="7" t="str">
        <f aca="false">_xlfn.CONCAT("X",B123)</f>
        <v>X122</v>
      </c>
      <c r="H123" s="6" t="n">
        <f aca="false">C123-C122</f>
        <v>19.6999999999534</v>
      </c>
      <c r="I123" s="6" t="n">
        <f aca="false">D123-D122</f>
        <v>-6.31000000052154</v>
      </c>
      <c r="J123" s="6" t="n">
        <f aca="false">E123-E122</f>
        <v>-8.69999999999982</v>
      </c>
    </row>
    <row r="124" customFormat="false" ht="12.8" hidden="false" customHeight="false" outlineLevel="0" collapsed="false">
      <c r="A124" s="6" t="s">
        <v>5</v>
      </c>
      <c r="B124" s="1" t="n">
        <v>123</v>
      </c>
      <c r="C124" s="2" t="n">
        <v>352078.06</v>
      </c>
      <c r="D124" s="2" t="n">
        <v>5265903.95</v>
      </c>
      <c r="E124" s="2" t="n">
        <v>2290.1</v>
      </c>
      <c r="F124" s="6" t="n">
        <f aca="false">B123</f>
        <v>122</v>
      </c>
      <c r="G124" s="7" t="str">
        <f aca="false">_xlfn.CONCAT("X",B124)</f>
        <v>X123</v>
      </c>
      <c r="H124" s="6" t="n">
        <f aca="false">C124-C123</f>
        <v>1.40000000002328</v>
      </c>
      <c r="I124" s="6" t="n">
        <f aca="false">D124-D123</f>
        <v>0.230000000447035</v>
      </c>
      <c r="J124" s="6" t="n">
        <f aca="false">E124-E123</f>
        <v>0.0999999999999091</v>
      </c>
    </row>
    <row r="125" customFormat="false" ht="12.8" hidden="false" customHeight="false" outlineLevel="0" collapsed="false">
      <c r="A125" s="6" t="s">
        <v>5</v>
      </c>
      <c r="B125" s="1" t="n">
        <v>124</v>
      </c>
      <c r="C125" s="2" t="n">
        <v>352080.4</v>
      </c>
      <c r="D125" s="2" t="n">
        <v>5265905.23</v>
      </c>
      <c r="E125" s="2" t="n">
        <v>2291.6</v>
      </c>
      <c r="F125" s="6" t="n">
        <f aca="false">B124</f>
        <v>123</v>
      </c>
      <c r="G125" s="7" t="str">
        <f aca="false">_xlfn.CONCAT("X",B125)</f>
        <v>X124</v>
      </c>
      <c r="H125" s="6" t="n">
        <f aca="false">C125-C124</f>
        <v>2.34000000002561</v>
      </c>
      <c r="I125" s="6" t="n">
        <f aca="false">D125-D124</f>
        <v>1.28000000026077</v>
      </c>
      <c r="J125" s="6" t="n">
        <f aca="false">E125-E124</f>
        <v>1.5</v>
      </c>
    </row>
    <row r="126" customFormat="false" ht="12.8" hidden="false" customHeight="false" outlineLevel="0" collapsed="false">
      <c r="A126" s="6" t="s">
        <v>5</v>
      </c>
      <c r="B126" s="1" t="n">
        <v>125</v>
      </c>
      <c r="C126" s="2" t="n">
        <v>352083.99</v>
      </c>
      <c r="D126" s="2" t="n">
        <v>5265906.07</v>
      </c>
      <c r="E126" s="2" t="n">
        <v>2294.2</v>
      </c>
      <c r="F126" s="6" t="n">
        <f aca="false">B125</f>
        <v>124</v>
      </c>
      <c r="G126" s="7" t="str">
        <f aca="false">_xlfn.CONCAT("X",B126)</f>
        <v>X125</v>
      </c>
      <c r="H126" s="6" t="n">
        <f aca="false">C126-C125</f>
        <v>3.5899999999674</v>
      </c>
      <c r="I126" s="6" t="n">
        <f aca="false">D126-D125</f>
        <v>0.839999999850988</v>
      </c>
      <c r="J126" s="6" t="n">
        <f aca="false">E126-E125</f>
        <v>2.59999999999991</v>
      </c>
    </row>
    <row r="127" customFormat="false" ht="12.8" hidden="false" customHeight="false" outlineLevel="0" collapsed="false">
      <c r="A127" s="6" t="s">
        <v>5</v>
      </c>
      <c r="B127" s="1" t="n">
        <v>126</v>
      </c>
      <c r="C127" s="2" t="n">
        <v>352087.18</v>
      </c>
      <c r="D127" s="2" t="n">
        <v>5265906.01</v>
      </c>
      <c r="E127" s="2" t="n">
        <v>2295.8</v>
      </c>
      <c r="F127" s="6" t="n">
        <f aca="false">B126</f>
        <v>125</v>
      </c>
      <c r="G127" s="7" t="str">
        <f aca="false">_xlfn.CONCAT("X",B127)</f>
        <v>X126</v>
      </c>
      <c r="H127" s="6" t="n">
        <f aca="false">C127-C126</f>
        <v>3.19000000000233</v>
      </c>
      <c r="I127" s="6" t="n">
        <f aca="false">D127-D126</f>
        <v>-0.0600000005215406</v>
      </c>
      <c r="J127" s="6" t="n">
        <f aca="false">E127-E126</f>
        <v>1.60000000000036</v>
      </c>
    </row>
    <row r="128" customFormat="false" ht="12.8" hidden="false" customHeight="false" outlineLevel="0" collapsed="false">
      <c r="A128" s="6" t="s">
        <v>5</v>
      </c>
      <c r="B128" s="1" t="n">
        <v>127</v>
      </c>
      <c r="C128" s="2" t="n">
        <v>352090.12</v>
      </c>
      <c r="D128" s="2" t="n">
        <v>5265904.29</v>
      </c>
      <c r="E128" s="2" t="n">
        <v>2295.7</v>
      </c>
      <c r="F128" s="6" t="n">
        <f aca="false">B127</f>
        <v>126</v>
      </c>
      <c r="G128" s="7" t="str">
        <f aca="false">_xlfn.CONCAT("X",B128)</f>
        <v>X127</v>
      </c>
      <c r="H128" s="6" t="n">
        <f aca="false">C128-C127</f>
        <v>2.94000000000233</v>
      </c>
      <c r="I128" s="6" t="n">
        <f aca="false">D128-D127</f>
        <v>-1.71999999973923</v>
      </c>
      <c r="J128" s="6" t="n">
        <f aca="false">E128-E127</f>
        <v>-0.100000000000364</v>
      </c>
    </row>
    <row r="129" customFormat="false" ht="12.8" hidden="false" customHeight="false" outlineLevel="0" collapsed="false">
      <c r="A129" s="6" t="s">
        <v>5</v>
      </c>
      <c r="B129" s="1" t="n">
        <v>128</v>
      </c>
      <c r="C129" s="2" t="n">
        <v>352092.65</v>
      </c>
      <c r="D129" s="2" t="n">
        <v>5265901.85</v>
      </c>
      <c r="E129" s="2" t="n">
        <v>2294.2</v>
      </c>
      <c r="F129" s="6" t="n">
        <f aca="false">B128</f>
        <v>127</v>
      </c>
      <c r="G129" s="7" t="str">
        <f aca="false">_xlfn.CONCAT("X",B129)</f>
        <v>X128</v>
      </c>
      <c r="H129" s="6" t="n">
        <f aca="false">C129-C128</f>
        <v>2.53000000002794</v>
      </c>
      <c r="I129" s="6" t="n">
        <f aca="false">D129-D128</f>
        <v>-2.44000000040978</v>
      </c>
      <c r="J129" s="6" t="n">
        <f aca="false">E129-E128</f>
        <v>-1.5</v>
      </c>
    </row>
    <row r="130" customFormat="false" ht="12.8" hidden="false" customHeight="false" outlineLevel="0" collapsed="false">
      <c r="A130" s="6" t="s">
        <v>5</v>
      </c>
      <c r="B130" s="1" t="n">
        <v>129</v>
      </c>
      <c r="C130" s="2" t="n">
        <v>352094.7</v>
      </c>
      <c r="D130" s="2" t="n">
        <v>5265898.9</v>
      </c>
      <c r="E130" s="2" t="n">
        <v>2292.2</v>
      </c>
      <c r="F130" s="6" t="n">
        <f aca="false">B129</f>
        <v>128</v>
      </c>
      <c r="G130" s="7" t="str">
        <f aca="false">_xlfn.CONCAT("X",B130)</f>
        <v>X129</v>
      </c>
      <c r="H130" s="6" t="n">
        <f aca="false">C130-C129</f>
        <v>2.04999999998836</v>
      </c>
      <c r="I130" s="6" t="n">
        <f aca="false">D130-D129</f>
        <v>-2.94999999925494</v>
      </c>
      <c r="J130" s="6" t="n">
        <f aca="false">E130-E129</f>
        <v>-2</v>
      </c>
    </row>
    <row r="131" customFormat="false" ht="12.8" hidden="false" customHeight="false" outlineLevel="0" collapsed="false">
      <c r="A131" s="6" t="s">
        <v>5</v>
      </c>
      <c r="B131" s="1" t="n">
        <v>130</v>
      </c>
      <c r="C131" s="2" t="n">
        <v>352099.94</v>
      </c>
      <c r="D131" s="2" t="n">
        <v>5265893.5</v>
      </c>
      <c r="E131" s="2" t="n">
        <v>2287.6</v>
      </c>
      <c r="F131" s="6" t="n">
        <f aca="false">B130</f>
        <v>129</v>
      </c>
      <c r="G131" s="7" t="str">
        <f aca="false">_xlfn.CONCAT("X",B131)</f>
        <v>X130</v>
      </c>
      <c r="H131" s="6" t="n">
        <f aca="false">C131-C130</f>
        <v>5.23999999999069</v>
      </c>
      <c r="I131" s="6" t="n">
        <f aca="false">D131-D130</f>
        <v>-5.40000000037253</v>
      </c>
      <c r="J131" s="6" t="n">
        <f aca="false">E131-E130</f>
        <v>-4.59999999999991</v>
      </c>
    </row>
    <row r="132" customFormat="false" ht="12.8" hidden="false" customHeight="false" outlineLevel="0" collapsed="false">
      <c r="A132" s="6" t="s">
        <v>5</v>
      </c>
      <c r="B132" s="1" t="n">
        <v>131</v>
      </c>
      <c r="C132" s="2" t="n">
        <v>352112.85</v>
      </c>
      <c r="D132" s="2" t="n">
        <v>5265881.84</v>
      </c>
      <c r="E132" s="2" t="n">
        <v>2283</v>
      </c>
      <c r="F132" s="6" t="n">
        <f aca="false">B131</f>
        <v>130</v>
      </c>
      <c r="G132" s="7" t="str">
        <f aca="false">_xlfn.CONCAT("X",B132)</f>
        <v>X131</v>
      </c>
      <c r="H132" s="6" t="n">
        <f aca="false">C132-C131</f>
        <v>12.9099999999744</v>
      </c>
      <c r="I132" s="6" t="n">
        <f aca="false">D132-D131</f>
        <v>-11.660000000149</v>
      </c>
      <c r="J132" s="6" t="n">
        <f aca="false">E132-E131</f>
        <v>-4.59999999999991</v>
      </c>
    </row>
    <row r="133" customFormat="false" ht="12.8" hidden="false" customHeight="false" outlineLevel="0" collapsed="false">
      <c r="A133" s="6" t="s">
        <v>5</v>
      </c>
      <c r="B133" s="1" t="n">
        <v>132</v>
      </c>
      <c r="C133" s="2" t="n">
        <v>352119.22</v>
      </c>
      <c r="D133" s="2" t="n">
        <v>5265873.83</v>
      </c>
      <c r="E133" s="2" t="n">
        <v>2281.3</v>
      </c>
      <c r="F133" s="6" t="n">
        <f aca="false">B132</f>
        <v>131</v>
      </c>
      <c r="G133" s="7" t="str">
        <f aca="false">_xlfn.CONCAT("X",B133)</f>
        <v>X132</v>
      </c>
      <c r="H133" s="6" t="n">
        <f aca="false">C133-C132</f>
        <v>6.36999999999534</v>
      </c>
      <c r="I133" s="6" t="n">
        <f aca="false">D133-D132</f>
        <v>-8.00999999977648</v>
      </c>
      <c r="J133" s="6" t="n">
        <f aca="false">E133-E132</f>
        <v>-1.69999999999982</v>
      </c>
    </row>
    <row r="134" customFormat="false" ht="12.8" hidden="false" customHeight="false" outlineLevel="0" collapsed="false">
      <c r="A134" s="6" t="s">
        <v>5</v>
      </c>
      <c r="B134" s="1" t="n">
        <v>133</v>
      </c>
      <c r="C134" s="2" t="n">
        <v>352133.63</v>
      </c>
      <c r="D134" s="2" t="n">
        <v>5265859.99</v>
      </c>
      <c r="E134" s="2" t="n">
        <v>2292.3</v>
      </c>
      <c r="F134" s="6" t="n">
        <f aca="false">B133</f>
        <v>132</v>
      </c>
      <c r="G134" s="7" t="str">
        <f aca="false">_xlfn.CONCAT("X",B134)</f>
        <v>X133</v>
      </c>
      <c r="H134" s="6" t="n">
        <f aca="false">C134-C133</f>
        <v>14.4100000000326</v>
      </c>
      <c r="I134" s="6" t="n">
        <f aca="false">D134-D133</f>
        <v>-13.839999999851</v>
      </c>
      <c r="J134" s="6" t="n">
        <f aca="false">E134-E133</f>
        <v>11</v>
      </c>
    </row>
    <row r="135" customFormat="false" ht="12.8" hidden="false" customHeight="false" outlineLevel="0" collapsed="false">
      <c r="A135" s="6" t="s">
        <v>5</v>
      </c>
      <c r="B135" s="1" t="n">
        <v>134</v>
      </c>
      <c r="C135" s="2" t="n">
        <v>352139.75</v>
      </c>
      <c r="D135" s="2" t="n">
        <v>5265857.69</v>
      </c>
      <c r="E135" s="2" t="n">
        <v>2293.8</v>
      </c>
      <c r="F135" s="6" t="n">
        <f aca="false">B134</f>
        <v>133</v>
      </c>
      <c r="G135" s="7" t="str">
        <f aca="false">_xlfn.CONCAT("X",B135)</f>
        <v>X134</v>
      </c>
      <c r="H135" s="6" t="n">
        <f aca="false">C135-C134</f>
        <v>6.11999999999534</v>
      </c>
      <c r="I135" s="6" t="n">
        <f aca="false">D135-D134</f>
        <v>-2.29999999981374</v>
      </c>
      <c r="J135" s="6" t="n">
        <f aca="false">E135-E134</f>
        <v>1.5</v>
      </c>
    </row>
    <row r="136" customFormat="false" ht="12.8" hidden="false" customHeight="false" outlineLevel="0" collapsed="false">
      <c r="A136" s="6" t="s">
        <v>5</v>
      </c>
      <c r="B136" s="1" t="n">
        <v>135</v>
      </c>
      <c r="C136" s="2" t="n">
        <v>352146.13</v>
      </c>
      <c r="D136" s="2" t="n">
        <v>5265851.61</v>
      </c>
      <c r="E136" s="2" t="n">
        <v>2293.6</v>
      </c>
      <c r="F136" s="6" t="n">
        <f aca="false">B135</f>
        <v>134</v>
      </c>
      <c r="G136" s="7" t="str">
        <f aca="false">_xlfn.CONCAT("X",B136)</f>
        <v>X135</v>
      </c>
      <c r="H136" s="6" t="n">
        <f aca="false">C136-C135</f>
        <v>6.38000000000466</v>
      </c>
      <c r="I136" s="6" t="n">
        <f aca="false">D136-D135</f>
        <v>-6.08000000007451</v>
      </c>
      <c r="J136" s="6" t="n">
        <f aca="false">E136-E135</f>
        <v>-0.200000000000273</v>
      </c>
    </row>
    <row r="137" customFormat="false" ht="12.8" hidden="false" customHeight="false" outlineLevel="0" collapsed="false">
      <c r="A137" s="6" t="s">
        <v>5</v>
      </c>
      <c r="B137" s="1" t="n">
        <v>136</v>
      </c>
      <c r="C137" s="2" t="n">
        <v>352150.69</v>
      </c>
      <c r="D137" s="2" t="n">
        <v>5265835.29</v>
      </c>
      <c r="E137" s="2" t="n">
        <v>2291.6</v>
      </c>
      <c r="F137" s="6" t="n">
        <f aca="false">B136</f>
        <v>135</v>
      </c>
      <c r="G137" s="7" t="str">
        <f aca="false">_xlfn.CONCAT("X",B137)</f>
        <v>X136</v>
      </c>
      <c r="H137" s="6" t="n">
        <f aca="false">C137-C136</f>
        <v>4.55999999999767</v>
      </c>
      <c r="I137" s="6" t="n">
        <f aca="false">D137-D136</f>
        <v>-16.320000000298</v>
      </c>
      <c r="J137" s="6" t="n">
        <f aca="false">E137-E136</f>
        <v>-2</v>
      </c>
    </row>
    <row r="138" customFormat="false" ht="12.8" hidden="false" customHeight="false" outlineLevel="0" collapsed="false">
      <c r="A138" s="6" t="s">
        <v>5</v>
      </c>
      <c r="B138" s="1" t="n">
        <v>137</v>
      </c>
      <c r="C138" s="2" t="n">
        <v>352152.22</v>
      </c>
      <c r="D138" s="2" t="n">
        <v>5265831.83</v>
      </c>
      <c r="E138" s="2" t="n">
        <v>2291.4</v>
      </c>
      <c r="F138" s="6" t="n">
        <f aca="false">B137</f>
        <v>136</v>
      </c>
      <c r="G138" s="7" t="str">
        <f aca="false">_xlfn.CONCAT("X",B138)</f>
        <v>X137</v>
      </c>
      <c r="H138" s="6" t="n">
        <f aca="false">C138-C137</f>
        <v>1.52999999996973</v>
      </c>
      <c r="I138" s="6" t="n">
        <f aca="false">D138-D137</f>
        <v>-3.45999999996275</v>
      </c>
      <c r="J138" s="6" t="n">
        <f aca="false">E138-E137</f>
        <v>-0.199999999999818</v>
      </c>
    </row>
    <row r="139" customFormat="false" ht="12.8" hidden="false" customHeight="false" outlineLevel="0" collapsed="false">
      <c r="A139" s="6" t="s">
        <v>5</v>
      </c>
      <c r="B139" s="1" t="n">
        <v>138</v>
      </c>
      <c r="C139" s="2" t="n">
        <v>352154.55</v>
      </c>
      <c r="D139" s="2" t="n">
        <v>5265828.58</v>
      </c>
      <c r="E139" s="2" t="n">
        <v>2291.1</v>
      </c>
      <c r="F139" s="6" t="n">
        <f aca="false">B138</f>
        <v>137</v>
      </c>
      <c r="G139" s="7" t="str">
        <f aca="false">_xlfn.CONCAT("X",B139)</f>
        <v>X138</v>
      </c>
      <c r="H139" s="6" t="n">
        <f aca="false">C139-C138</f>
        <v>2.3300000000163</v>
      </c>
      <c r="I139" s="6" t="n">
        <f aca="false">D139-D138</f>
        <v>-3.25</v>
      </c>
      <c r="J139" s="6" t="n">
        <f aca="false">E139-E138</f>
        <v>-0.300000000000182</v>
      </c>
    </row>
    <row r="140" customFormat="false" ht="12.8" hidden="false" customHeight="false" outlineLevel="0" collapsed="false">
      <c r="A140" s="6" t="s">
        <v>5</v>
      </c>
      <c r="B140" s="1" t="n">
        <v>139</v>
      </c>
      <c r="C140" s="2" t="n">
        <v>352159.86</v>
      </c>
      <c r="D140" s="2" t="n">
        <v>5265825.83</v>
      </c>
      <c r="E140" s="2" t="n">
        <v>2290.3</v>
      </c>
      <c r="F140" s="6" t="n">
        <f aca="false">B139</f>
        <v>138</v>
      </c>
      <c r="G140" s="7" t="str">
        <f aca="false">_xlfn.CONCAT("X",B140)</f>
        <v>X139</v>
      </c>
      <c r="H140" s="6" t="n">
        <f aca="false">C140-C139</f>
        <v>5.30999999999767</v>
      </c>
      <c r="I140" s="6" t="n">
        <f aca="false">D140-D139</f>
        <v>-2.75</v>
      </c>
      <c r="J140" s="6" t="n">
        <f aca="false">E140-E139</f>
        <v>-0.799999999999727</v>
      </c>
    </row>
    <row r="141" customFormat="false" ht="12.8" hidden="false" customHeight="false" outlineLevel="0" collapsed="false">
      <c r="A141" s="6" t="s">
        <v>5</v>
      </c>
      <c r="B141" s="1" t="n">
        <v>140</v>
      </c>
      <c r="C141" s="2" t="n">
        <v>352167.02</v>
      </c>
      <c r="D141" s="2" t="n">
        <v>5265823.97</v>
      </c>
      <c r="E141" s="2" t="n">
        <v>2288.9</v>
      </c>
      <c r="F141" s="6" t="n">
        <f aca="false">B140</f>
        <v>139</v>
      </c>
      <c r="G141" s="7" t="str">
        <f aca="false">_xlfn.CONCAT("X",B141)</f>
        <v>X140</v>
      </c>
      <c r="H141" s="6" t="n">
        <f aca="false">C141-C140</f>
        <v>7.1600000000326</v>
      </c>
      <c r="I141" s="6" t="n">
        <f aca="false">D141-D140</f>
        <v>-1.86000000033528</v>
      </c>
      <c r="J141" s="6" t="n">
        <f aca="false">E141-E140</f>
        <v>-1.40000000000009</v>
      </c>
    </row>
    <row r="142" customFormat="false" ht="12.8" hidden="false" customHeight="false" outlineLevel="0" collapsed="false">
      <c r="A142" s="6" t="s">
        <v>5</v>
      </c>
      <c r="B142" s="1" t="n">
        <v>141</v>
      </c>
      <c r="C142" s="2" t="n">
        <v>352169.52</v>
      </c>
      <c r="D142" s="2" t="n">
        <v>5265822.17</v>
      </c>
      <c r="E142" s="2" t="n">
        <v>2287.4</v>
      </c>
      <c r="F142" s="6" t="n">
        <f aca="false">B141</f>
        <v>140</v>
      </c>
      <c r="G142" s="7" t="str">
        <f aca="false">_xlfn.CONCAT("X",B142)</f>
        <v>X141</v>
      </c>
      <c r="H142" s="6" t="n">
        <f aca="false">C142-C141</f>
        <v>2.5</v>
      </c>
      <c r="I142" s="6" t="n">
        <f aca="false">D142-D141</f>
        <v>-1.79999999981374</v>
      </c>
      <c r="J142" s="6" t="n">
        <f aca="false">E142-E141</f>
        <v>-1.5</v>
      </c>
    </row>
    <row r="143" customFormat="false" ht="12.8" hidden="false" customHeight="false" outlineLevel="0" collapsed="false">
      <c r="A143" s="6" t="s">
        <v>5</v>
      </c>
      <c r="B143" s="1" t="n">
        <v>142</v>
      </c>
      <c r="C143" s="2" t="n">
        <v>352170.71</v>
      </c>
      <c r="D143" s="2" t="n">
        <v>5265820.26</v>
      </c>
      <c r="E143" s="2" t="n">
        <v>2285.7</v>
      </c>
      <c r="F143" s="6" t="n">
        <f aca="false">B142</f>
        <v>141</v>
      </c>
      <c r="G143" s="7" t="str">
        <f aca="false">_xlfn.CONCAT("X",B143)</f>
        <v>X142</v>
      </c>
      <c r="H143" s="6" t="n">
        <f aca="false">C143-C142</f>
        <v>1.19000000000233</v>
      </c>
      <c r="I143" s="6" t="n">
        <f aca="false">D143-D142</f>
        <v>-1.91000000014901</v>
      </c>
      <c r="J143" s="6" t="n">
        <f aca="false">E143-E142</f>
        <v>-1.70000000000027</v>
      </c>
    </row>
    <row r="144" customFormat="false" ht="12.8" hidden="false" customHeight="false" outlineLevel="0" collapsed="false">
      <c r="A144" s="6" t="s">
        <v>5</v>
      </c>
      <c r="B144" s="1" t="n">
        <v>143</v>
      </c>
      <c r="C144" s="2" t="n">
        <v>352170.5</v>
      </c>
      <c r="D144" s="2" t="n">
        <v>5265814.22</v>
      </c>
      <c r="E144" s="2" t="n">
        <v>2283.4</v>
      </c>
      <c r="F144" s="6" t="n">
        <f aca="false">B143</f>
        <v>142</v>
      </c>
      <c r="G144" s="7" t="str">
        <f aca="false">_xlfn.CONCAT("X",B144)</f>
        <v>X143</v>
      </c>
      <c r="H144" s="6" t="n">
        <f aca="false">C144-C143</f>
        <v>-0.210000000020955</v>
      </c>
      <c r="I144" s="6" t="n">
        <f aca="false">D144-D143</f>
        <v>-6.04000000003725</v>
      </c>
      <c r="J144" s="6" t="n">
        <f aca="false">E144-E143</f>
        <v>-2.29999999999973</v>
      </c>
    </row>
    <row r="145" customFormat="false" ht="12.8" hidden="false" customHeight="false" outlineLevel="0" collapsed="false">
      <c r="A145" s="6" t="s">
        <v>5</v>
      </c>
      <c r="B145" s="1" t="n">
        <v>144</v>
      </c>
      <c r="C145" s="2" t="n">
        <v>352170.31</v>
      </c>
      <c r="D145" s="2" t="n">
        <v>5265809.48</v>
      </c>
      <c r="E145" s="2" t="n">
        <v>2279.9</v>
      </c>
      <c r="F145" s="6" t="n">
        <f aca="false">B144</f>
        <v>143</v>
      </c>
      <c r="G145" s="7" t="str">
        <f aca="false">_xlfn.CONCAT("X",B145)</f>
        <v>X144</v>
      </c>
      <c r="H145" s="6" t="n">
        <f aca="false">C145-C144</f>
        <v>-0.190000000002328</v>
      </c>
      <c r="I145" s="6" t="n">
        <f aca="false">D145-D144</f>
        <v>-4.7399999992922</v>
      </c>
      <c r="J145" s="6" t="n">
        <f aca="false">E145-E144</f>
        <v>-3.5</v>
      </c>
    </row>
    <row r="146" customFormat="false" ht="12.8" hidden="false" customHeight="false" outlineLevel="0" collapsed="false">
      <c r="A146" s="6" t="s">
        <v>5</v>
      </c>
      <c r="B146" s="1" t="n">
        <v>145</v>
      </c>
      <c r="C146" s="2" t="n">
        <v>352171.11</v>
      </c>
      <c r="D146" s="2" t="n">
        <v>5265804.88</v>
      </c>
      <c r="E146" s="2" t="n">
        <v>2283.7</v>
      </c>
      <c r="F146" s="6" t="n">
        <f aca="false">B145</f>
        <v>144</v>
      </c>
      <c r="G146" s="7" t="str">
        <f aca="false">_xlfn.CONCAT("X",B146)</f>
        <v>X145</v>
      </c>
      <c r="H146" s="6" t="n">
        <f aca="false">C146-C145</f>
        <v>0.799999999988359</v>
      </c>
      <c r="I146" s="6" t="n">
        <f aca="false">D146-D145</f>
        <v>-4.60000000055879</v>
      </c>
      <c r="J146" s="6" t="n">
        <f aca="false">E146-E145</f>
        <v>3.79999999999973</v>
      </c>
    </row>
    <row r="147" customFormat="false" ht="12.8" hidden="false" customHeight="false" outlineLevel="0" collapsed="false">
      <c r="A147" s="6" t="s">
        <v>5</v>
      </c>
      <c r="B147" s="1" t="n">
        <v>146</v>
      </c>
      <c r="C147" s="2" t="n">
        <v>352173.46</v>
      </c>
      <c r="D147" s="2" t="n">
        <v>5265798.84</v>
      </c>
      <c r="E147" s="2" t="n">
        <v>2287</v>
      </c>
      <c r="F147" s="6" t="n">
        <f aca="false">B146</f>
        <v>145</v>
      </c>
      <c r="G147" s="7" t="str">
        <f aca="false">_xlfn.CONCAT("X",B147)</f>
        <v>X146</v>
      </c>
      <c r="H147" s="6" t="n">
        <f aca="false">C147-C146</f>
        <v>2.35000000003492</v>
      </c>
      <c r="I147" s="6" t="n">
        <f aca="false">D147-D146</f>
        <v>-6.04000000003725</v>
      </c>
      <c r="J147" s="6" t="n">
        <f aca="false">E147-E146</f>
        <v>3.30000000000018</v>
      </c>
    </row>
    <row r="148" customFormat="false" ht="12.8" hidden="false" customHeight="false" outlineLevel="0" collapsed="false">
      <c r="A148" s="6" t="s">
        <v>5</v>
      </c>
      <c r="B148" s="1" t="n">
        <v>147</v>
      </c>
      <c r="C148" s="2" t="n">
        <v>352176.91</v>
      </c>
      <c r="D148" s="2" t="n">
        <v>5265793.41</v>
      </c>
      <c r="E148" s="2" t="n">
        <v>2286.5</v>
      </c>
      <c r="F148" s="6" t="n">
        <f aca="false">B147</f>
        <v>146</v>
      </c>
      <c r="G148" s="7" t="str">
        <f aca="false">_xlfn.CONCAT("X",B148)</f>
        <v>X147</v>
      </c>
      <c r="H148" s="6" t="n">
        <f aca="false">C148-C147</f>
        <v>3.44999999995343</v>
      </c>
      <c r="I148" s="6" t="n">
        <f aca="false">D148-D147</f>
        <v>-5.42999999970198</v>
      </c>
      <c r="J148" s="6" t="n">
        <f aca="false">E148-E147</f>
        <v>-0.5</v>
      </c>
    </row>
    <row r="149" customFormat="false" ht="12.8" hidden="false" customHeight="false" outlineLevel="0" collapsed="false">
      <c r="A149" s="6" t="s">
        <v>5</v>
      </c>
      <c r="B149" s="1" t="n">
        <v>148</v>
      </c>
      <c r="C149" s="2" t="n">
        <v>352178.02</v>
      </c>
      <c r="D149" s="2" t="n">
        <v>5265792.4</v>
      </c>
      <c r="E149" s="2" t="n">
        <v>2286.2</v>
      </c>
      <c r="F149" s="6" t="n">
        <f aca="false">B148</f>
        <v>147</v>
      </c>
      <c r="G149" s="7" t="str">
        <f aca="false">_xlfn.CONCAT("X",B149)</f>
        <v>X148</v>
      </c>
      <c r="H149" s="6" t="n">
        <f aca="false">C149-C148</f>
        <v>1.11000000004424</v>
      </c>
      <c r="I149" s="6" t="n">
        <f aca="false">D149-D148</f>
        <v>-1.00999999977648</v>
      </c>
      <c r="J149" s="6" t="n">
        <f aca="false">E149-E148</f>
        <v>-0.300000000000182</v>
      </c>
    </row>
    <row r="150" customFormat="false" ht="12.8" hidden="false" customHeight="false" outlineLevel="0" collapsed="false">
      <c r="A150" s="6" t="s">
        <v>5</v>
      </c>
      <c r="B150" s="1" t="n">
        <v>149</v>
      </c>
      <c r="C150" s="2" t="n">
        <v>352183.81</v>
      </c>
      <c r="D150" s="2" t="n">
        <v>5265791.28</v>
      </c>
      <c r="E150" s="2" t="n">
        <v>2284.7</v>
      </c>
      <c r="F150" s="6" t="n">
        <f aca="false">B149</f>
        <v>148</v>
      </c>
      <c r="G150" s="7" t="str">
        <f aca="false">_xlfn.CONCAT("X",B150)</f>
        <v>X149</v>
      </c>
      <c r="H150" s="6" t="n">
        <f aca="false">C150-C149</f>
        <v>5.78999999997905</v>
      </c>
      <c r="I150" s="6" t="n">
        <f aca="false">D150-D149</f>
        <v>-1.12000000011176</v>
      </c>
      <c r="J150" s="6" t="n">
        <f aca="false">E150-E149</f>
        <v>-1.5</v>
      </c>
    </row>
    <row r="151" customFormat="false" ht="12.8" hidden="false" customHeight="false" outlineLevel="0" collapsed="false">
      <c r="A151" s="6" t="s">
        <v>5</v>
      </c>
      <c r="B151" s="1" t="n">
        <v>150</v>
      </c>
      <c r="C151" s="2" t="n">
        <v>352185.91</v>
      </c>
      <c r="D151" s="2" t="n">
        <v>5265790.31</v>
      </c>
      <c r="E151" s="2" t="n">
        <v>2283.7</v>
      </c>
      <c r="F151" s="6" t="n">
        <f aca="false">B150</f>
        <v>149</v>
      </c>
      <c r="G151" s="7" t="str">
        <f aca="false">_xlfn.CONCAT("X",B151)</f>
        <v>X150</v>
      </c>
      <c r="H151" s="6" t="n">
        <f aca="false">C151-C150</f>
        <v>2.09999999997672</v>
      </c>
      <c r="I151" s="6" t="n">
        <f aca="false">D151-D150</f>
        <v>-0.970000000670552</v>
      </c>
      <c r="J151" s="6" t="n">
        <f aca="false">E151-E150</f>
        <v>-1</v>
      </c>
    </row>
    <row r="152" customFormat="false" ht="12.8" hidden="false" customHeight="false" outlineLevel="0" collapsed="false">
      <c r="A152" s="6" t="s">
        <v>5</v>
      </c>
      <c r="B152" s="1" t="n">
        <v>151</v>
      </c>
      <c r="C152" s="2" t="n">
        <v>352187.87</v>
      </c>
      <c r="D152" s="2" t="n">
        <v>5265789.08</v>
      </c>
      <c r="E152" s="2" t="n">
        <v>2282.8</v>
      </c>
      <c r="F152" s="6" t="n">
        <f aca="false">B151</f>
        <v>150</v>
      </c>
      <c r="G152" s="7" t="str">
        <f aca="false">_xlfn.CONCAT("X",B152)</f>
        <v>X151</v>
      </c>
      <c r="H152" s="6" t="n">
        <f aca="false">C152-C151</f>
        <v>1.96000000002095</v>
      </c>
      <c r="I152" s="6" t="n">
        <f aca="false">D152-D151</f>
        <v>-1.22999999951571</v>
      </c>
      <c r="J152" s="6" t="n">
        <f aca="false">E152-E151</f>
        <v>-0.899999999999636</v>
      </c>
    </row>
    <row r="153" customFormat="false" ht="12.8" hidden="false" customHeight="false" outlineLevel="0" collapsed="false">
      <c r="A153" s="6" t="s">
        <v>5</v>
      </c>
      <c r="B153" s="1" t="n">
        <v>152</v>
      </c>
      <c r="C153" s="2" t="n">
        <v>352199.54</v>
      </c>
      <c r="D153" s="2" t="n">
        <v>5265778.24</v>
      </c>
      <c r="E153" s="2" t="n">
        <v>2277.5</v>
      </c>
      <c r="F153" s="6" t="n">
        <f aca="false">B152</f>
        <v>151</v>
      </c>
      <c r="G153" s="7" t="str">
        <f aca="false">_xlfn.CONCAT("X",B153)</f>
        <v>X152</v>
      </c>
      <c r="H153" s="6" t="n">
        <f aca="false">C153-C152</f>
        <v>11.6699999999837</v>
      </c>
      <c r="I153" s="6" t="n">
        <f aca="false">D153-D152</f>
        <v>-10.839999999851</v>
      </c>
      <c r="J153" s="6" t="n">
        <f aca="false">E153-E152</f>
        <v>-5.30000000000018</v>
      </c>
    </row>
    <row r="154" customFormat="false" ht="12.8" hidden="false" customHeight="false" outlineLevel="0" collapsed="false">
      <c r="A154" s="6" t="s">
        <v>5</v>
      </c>
      <c r="B154" s="1" t="n">
        <v>153</v>
      </c>
      <c r="C154" s="2" t="n">
        <v>352245.04</v>
      </c>
      <c r="D154" s="2" t="n">
        <v>5265713.03</v>
      </c>
      <c r="E154" s="2" t="n">
        <v>2253.9</v>
      </c>
      <c r="F154" s="6" t="n">
        <f aca="false">B153</f>
        <v>152</v>
      </c>
      <c r="G154" s="7" t="str">
        <f aca="false">_xlfn.CONCAT("X",B154)</f>
        <v>X153</v>
      </c>
      <c r="H154" s="6" t="n">
        <f aca="false">C154-C153</f>
        <v>45.5</v>
      </c>
      <c r="I154" s="6" t="n">
        <f aca="false">D154-D153</f>
        <v>-65.2099999999628</v>
      </c>
      <c r="J154" s="6" t="n">
        <f aca="false">E154-E153</f>
        <v>-23.5999999999999</v>
      </c>
    </row>
    <row r="155" customFormat="false" ht="12.8" hidden="false" customHeight="false" outlineLevel="0" collapsed="false">
      <c r="A155" s="6" t="s">
        <v>5</v>
      </c>
      <c r="B155" s="1" t="n">
        <v>154</v>
      </c>
      <c r="C155" s="2" t="n">
        <v>352268.88</v>
      </c>
      <c r="D155" s="2" t="n">
        <v>5265664.83</v>
      </c>
      <c r="E155" s="2" t="n">
        <v>2235</v>
      </c>
      <c r="F155" s="6" t="n">
        <f aca="false">B154</f>
        <v>153</v>
      </c>
      <c r="G155" s="7" t="str">
        <f aca="false">_xlfn.CONCAT("X",B155)</f>
        <v>X154</v>
      </c>
      <c r="H155" s="6" t="n">
        <f aca="false">C155-C154</f>
        <v>23.8400000000256</v>
      </c>
      <c r="I155" s="6" t="n">
        <f aca="false">D155-D154</f>
        <v>-48.2000000001863</v>
      </c>
      <c r="J155" s="6" t="n">
        <f aca="false">E155-E154</f>
        <v>-18.9000000000001</v>
      </c>
    </row>
    <row r="156" customFormat="false" ht="12.8" hidden="false" customHeight="false" outlineLevel="0" collapsed="false">
      <c r="A156" s="6" t="s">
        <v>5</v>
      </c>
      <c r="B156" s="1" t="n">
        <v>155</v>
      </c>
      <c r="C156" s="2" t="n">
        <v>352492.69</v>
      </c>
      <c r="D156" s="2" t="n">
        <v>5265566.26</v>
      </c>
      <c r="E156" s="2" t="n">
        <v>2190</v>
      </c>
      <c r="F156" s="6" t="n">
        <f aca="false">B155</f>
        <v>154</v>
      </c>
      <c r="G156" s="7" t="str">
        <f aca="false">_xlfn.CONCAT("X",B156)</f>
        <v>X155</v>
      </c>
      <c r="H156" s="6" t="n">
        <f aca="false">C156-C155</f>
        <v>223.809999999998</v>
      </c>
      <c r="I156" s="6" t="n">
        <f aca="false">D156-D155</f>
        <v>-98.570000000298</v>
      </c>
      <c r="J156" s="6" t="n">
        <f aca="false">E156-E155</f>
        <v>-45</v>
      </c>
    </row>
    <row r="157" customFormat="false" ht="12.8" hidden="false" customHeight="false" outlineLevel="0" collapsed="false">
      <c r="A157" s="6" t="s">
        <v>5</v>
      </c>
      <c r="B157" s="1" t="n">
        <v>156</v>
      </c>
      <c r="C157" s="2" t="n">
        <v>352628.56</v>
      </c>
      <c r="D157" s="2" t="n">
        <v>5265522.66</v>
      </c>
      <c r="E157" s="2" t="n">
        <v>2157.1</v>
      </c>
      <c r="F157" s="6" t="n">
        <f aca="false">B156</f>
        <v>155</v>
      </c>
      <c r="G157" s="7" t="str">
        <f aca="false">_xlfn.CONCAT("X",B157)</f>
        <v>X156</v>
      </c>
      <c r="H157" s="6" t="n">
        <f aca="false">C157-C156</f>
        <v>135.869999999995</v>
      </c>
      <c r="I157" s="6" t="n">
        <f aca="false">D157-D156</f>
        <v>-43.5999999996275</v>
      </c>
      <c r="J157" s="6" t="n">
        <f aca="false">E157-E156</f>
        <v>-32.9000000000001</v>
      </c>
    </row>
    <row r="158" customFormat="false" ht="12.8" hidden="false" customHeight="false" outlineLevel="0" collapsed="false">
      <c r="A158" s="6" t="s">
        <v>5</v>
      </c>
      <c r="B158" s="1" t="n">
        <v>157</v>
      </c>
      <c r="C158" s="2" t="n">
        <v>352700.27</v>
      </c>
      <c r="D158" s="2" t="n">
        <v>5265433.01</v>
      </c>
      <c r="E158" s="2" t="n">
        <v>2129.1</v>
      </c>
      <c r="F158" s="6" t="n">
        <f aca="false">B157</f>
        <v>156</v>
      </c>
      <c r="G158" s="7" t="str">
        <f aca="false">_xlfn.CONCAT("X",B158)</f>
        <v>X157</v>
      </c>
      <c r="H158" s="6" t="n">
        <f aca="false">C158-C157</f>
        <v>71.710000000021</v>
      </c>
      <c r="I158" s="6" t="n">
        <f aca="false">D158-D157</f>
        <v>-89.6500000003725</v>
      </c>
      <c r="J158" s="6" t="n">
        <f aca="false">E158-E157</f>
        <v>-28</v>
      </c>
    </row>
    <row r="159" customFormat="false" ht="12.8" hidden="false" customHeight="false" outlineLevel="0" collapsed="false">
      <c r="A159" s="6" t="s">
        <v>5</v>
      </c>
      <c r="B159" s="1" t="n">
        <v>158</v>
      </c>
      <c r="C159" s="2" t="n">
        <v>352860.42</v>
      </c>
      <c r="D159" s="2" t="n">
        <v>5265283.27</v>
      </c>
      <c r="E159" s="2" t="n">
        <v>2091.5</v>
      </c>
      <c r="F159" s="6" t="n">
        <f aca="false">B158</f>
        <v>157</v>
      </c>
      <c r="G159" s="7" t="str">
        <f aca="false">_xlfn.CONCAT("X",B159)</f>
        <v>X158</v>
      </c>
      <c r="H159" s="6" t="n">
        <f aca="false">C159-C158</f>
        <v>160.149999999965</v>
      </c>
      <c r="I159" s="6" t="n">
        <f aca="false">D159-D158</f>
        <v>-149.740000000224</v>
      </c>
      <c r="J159" s="6" t="n">
        <f aca="false">E159-E158</f>
        <v>-37.5999999999999</v>
      </c>
    </row>
    <row r="160" customFormat="false" ht="12.8" hidden="false" customHeight="false" outlineLevel="0" collapsed="false">
      <c r="A160" s="6" t="s">
        <v>5</v>
      </c>
      <c r="B160" s="1" t="n">
        <v>159</v>
      </c>
      <c r="C160" s="2" t="n">
        <v>352924.66</v>
      </c>
      <c r="D160" s="2" t="n">
        <v>5265233.36</v>
      </c>
      <c r="E160" s="2" t="n">
        <v>2102.7</v>
      </c>
      <c r="F160" s="6" t="n">
        <f aca="false">B159</f>
        <v>158</v>
      </c>
      <c r="G160" s="7" t="str">
        <f aca="false">_xlfn.CONCAT("X",B160)</f>
        <v>X159</v>
      </c>
      <c r="H160" s="6" t="n">
        <f aca="false">C160-C159</f>
        <v>64.2399999999907</v>
      </c>
      <c r="I160" s="6" t="n">
        <f aca="false">D160-D159</f>
        <v>-49.9099999992177</v>
      </c>
      <c r="J160" s="6" t="n">
        <f aca="false">E160-E159</f>
        <v>11.1999999999998</v>
      </c>
    </row>
    <row r="161" customFormat="false" ht="12.8" hidden="false" customHeight="false" outlineLevel="0" collapsed="false">
      <c r="A161" s="6" t="s">
        <v>5</v>
      </c>
      <c r="B161" s="1" t="n">
        <v>160</v>
      </c>
      <c r="C161" s="2" t="n">
        <v>352944.12</v>
      </c>
      <c r="D161" s="2" t="n">
        <v>5265080.86</v>
      </c>
      <c r="E161" s="2" t="n">
        <v>2131.7</v>
      </c>
      <c r="F161" s="6" t="n">
        <f aca="false">B160</f>
        <v>159</v>
      </c>
      <c r="G161" s="7" t="str">
        <f aca="false">_xlfn.CONCAT("X",B161)</f>
        <v>X160</v>
      </c>
      <c r="H161" s="6" t="n">
        <f aca="false">C161-C160</f>
        <v>19.460000000021</v>
      </c>
      <c r="I161" s="6" t="n">
        <f aca="false">D161-D160</f>
        <v>-152.5</v>
      </c>
      <c r="J161" s="6" t="n">
        <f aca="false">E161-E160</f>
        <v>29</v>
      </c>
    </row>
    <row r="162" customFormat="false" ht="12.8" hidden="false" customHeight="false" outlineLevel="0" collapsed="false">
      <c r="A162" s="6" t="s">
        <v>5</v>
      </c>
      <c r="B162" s="1" t="n">
        <v>161</v>
      </c>
      <c r="C162" s="2" t="n">
        <v>352997.4</v>
      </c>
      <c r="D162" s="2" t="n">
        <v>5264966.8</v>
      </c>
      <c r="E162" s="2" t="n">
        <v>2148.8</v>
      </c>
      <c r="F162" s="6" t="n">
        <f aca="false">B161</f>
        <v>160</v>
      </c>
      <c r="G162" s="7" t="str">
        <f aca="false">_xlfn.CONCAT("X",B162)</f>
        <v>X161</v>
      </c>
      <c r="H162" s="6" t="n">
        <f aca="false">C162-C161</f>
        <v>53.2800000000279</v>
      </c>
      <c r="I162" s="6" t="n">
        <f aca="false">D162-D161</f>
        <v>-114.060000000522</v>
      </c>
      <c r="J162" s="6" t="n">
        <f aca="false">E162-E161</f>
        <v>17.1000000000004</v>
      </c>
    </row>
    <row r="163" customFormat="false" ht="12.8" hidden="false" customHeight="false" outlineLevel="0" collapsed="false">
      <c r="A163" s="6" t="s">
        <v>5</v>
      </c>
      <c r="B163" s="1" t="n">
        <v>162</v>
      </c>
      <c r="C163" s="2" t="n">
        <v>352950.3</v>
      </c>
      <c r="D163" s="2" t="n">
        <v>5264886.57</v>
      </c>
      <c r="E163" s="2" t="n">
        <v>2155.6</v>
      </c>
      <c r="F163" s="6" t="n">
        <f aca="false">B162</f>
        <v>161</v>
      </c>
      <c r="G163" s="7" t="str">
        <f aca="false">_xlfn.CONCAT("X",B163)</f>
        <v>X162</v>
      </c>
      <c r="H163" s="6" t="n">
        <f aca="false">C163-C162</f>
        <v>-47.1000000000349</v>
      </c>
      <c r="I163" s="6" t="n">
        <f aca="false">D163-D162</f>
        <v>-80.2299999995157</v>
      </c>
      <c r="J163" s="6" t="n">
        <f aca="false">E163-E162</f>
        <v>6.79999999999973</v>
      </c>
    </row>
    <row r="164" customFormat="false" ht="12.8" hidden="false" customHeight="false" outlineLevel="0" collapsed="false">
      <c r="A164" s="6" t="s">
        <v>5</v>
      </c>
      <c r="B164" s="1" t="n">
        <v>163</v>
      </c>
      <c r="C164" s="2" t="n">
        <v>352901.42</v>
      </c>
      <c r="D164" s="2" t="n">
        <v>5264858.65</v>
      </c>
      <c r="E164" s="2" t="n">
        <v>2173.5</v>
      </c>
      <c r="F164" s="6" t="n">
        <f aca="false">B163</f>
        <v>162</v>
      </c>
      <c r="G164" s="7" t="str">
        <f aca="false">_xlfn.CONCAT("X",B164)</f>
        <v>X163</v>
      </c>
      <c r="H164" s="6" t="n">
        <f aca="false">C164-C163</f>
        <v>-48.8800000000047</v>
      </c>
      <c r="I164" s="6" t="n">
        <f aca="false">D164-D163</f>
        <v>-27.9199999999255</v>
      </c>
      <c r="J164" s="6" t="n">
        <f aca="false">E164-E163</f>
        <v>17.9000000000001</v>
      </c>
    </row>
    <row r="165" customFormat="false" ht="12.8" hidden="false" customHeight="false" outlineLevel="0" collapsed="false">
      <c r="A165" s="6" t="s">
        <v>5</v>
      </c>
      <c r="B165" s="1" t="n">
        <v>164</v>
      </c>
      <c r="C165" s="2" t="n">
        <v>352805.43</v>
      </c>
      <c r="D165" s="2" t="n">
        <v>5264867.26</v>
      </c>
      <c r="E165" s="2" t="n">
        <v>2171.2</v>
      </c>
      <c r="F165" s="6" t="n">
        <f aca="false">B164</f>
        <v>163</v>
      </c>
      <c r="G165" s="7" t="str">
        <f aca="false">_xlfn.CONCAT("X",B165)</f>
        <v>X164</v>
      </c>
      <c r="H165" s="6" t="n">
        <f aca="false">C165-C164</f>
        <v>-95.9899999999907</v>
      </c>
      <c r="I165" s="6" t="n">
        <f aca="false">D165-D164</f>
        <v>8.60999999940395</v>
      </c>
      <c r="J165" s="6" t="n">
        <f aca="false">E165-E164</f>
        <v>-2.30000000000018</v>
      </c>
    </row>
    <row r="166" customFormat="false" ht="12.8" hidden="false" customHeight="false" outlineLevel="0" collapsed="false">
      <c r="A166" s="6" t="s">
        <v>5</v>
      </c>
      <c r="B166" s="1" t="n">
        <v>165</v>
      </c>
      <c r="C166" s="2" t="n">
        <v>352770.02</v>
      </c>
      <c r="D166" s="2" t="n">
        <v>5264860.31</v>
      </c>
      <c r="E166" s="2" t="n">
        <v>2169.3</v>
      </c>
      <c r="F166" s="6" t="n">
        <f aca="false">B165</f>
        <v>164</v>
      </c>
      <c r="G166" s="7" t="str">
        <f aca="false">_xlfn.CONCAT("X",B166)</f>
        <v>X165</v>
      </c>
      <c r="H166" s="6" t="n">
        <f aca="false">C166-C165</f>
        <v>-35.4099999999744</v>
      </c>
      <c r="I166" s="6" t="n">
        <f aca="false">D166-D165</f>
        <v>-6.95000000018626</v>
      </c>
      <c r="J166" s="6" t="n">
        <f aca="false">E166-E165</f>
        <v>-1.89999999999964</v>
      </c>
    </row>
    <row r="167" customFormat="false" ht="12.8" hidden="false" customHeight="false" outlineLevel="0" collapsed="false">
      <c r="A167" s="6" t="s">
        <v>5</v>
      </c>
      <c r="B167" s="1" t="n">
        <v>166</v>
      </c>
      <c r="C167" s="2" t="n">
        <v>352690.14</v>
      </c>
      <c r="D167" s="2" t="n">
        <v>5264800.79</v>
      </c>
      <c r="E167" s="2" t="n">
        <v>2154.7</v>
      </c>
      <c r="F167" s="6" t="n">
        <f aca="false">B166</f>
        <v>165</v>
      </c>
      <c r="G167" s="7" t="str">
        <f aca="false">_xlfn.CONCAT("X",B167)</f>
        <v>X166</v>
      </c>
      <c r="H167" s="6" t="n">
        <f aca="false">C167-C166</f>
        <v>-79.8800000000047</v>
      </c>
      <c r="I167" s="6" t="n">
        <f aca="false">D167-D166</f>
        <v>-59.519999999553</v>
      </c>
      <c r="J167" s="6" t="n">
        <f aca="false">E167-E166</f>
        <v>-14.6000000000004</v>
      </c>
    </row>
    <row r="168" customFormat="false" ht="12.8" hidden="false" customHeight="false" outlineLevel="0" collapsed="false">
      <c r="A168" s="6" t="s">
        <v>5</v>
      </c>
      <c r="B168" s="1" t="n">
        <v>167</v>
      </c>
      <c r="C168" s="2" t="n">
        <v>352753</v>
      </c>
      <c r="D168" s="2" t="n">
        <v>5264699.49</v>
      </c>
      <c r="E168" s="2" t="n">
        <v>2166</v>
      </c>
      <c r="F168" s="6" t="n">
        <f aca="false">B167</f>
        <v>166</v>
      </c>
      <c r="G168" s="7" t="str">
        <f aca="false">_xlfn.CONCAT("X",B168)</f>
        <v>X167</v>
      </c>
      <c r="H168" s="6" t="n">
        <f aca="false">C168-C167</f>
        <v>62.859999999986</v>
      </c>
      <c r="I168" s="6" t="n">
        <f aca="false">D168-D167</f>
        <v>-101.299999999814</v>
      </c>
      <c r="J168" s="6" t="n">
        <f aca="false">E168-E167</f>
        <v>11.3000000000002</v>
      </c>
    </row>
    <row r="169" customFormat="false" ht="12.8" hidden="false" customHeight="false" outlineLevel="0" collapsed="false">
      <c r="A169" s="6" t="s">
        <v>5</v>
      </c>
      <c r="B169" s="1" t="n">
        <v>168</v>
      </c>
      <c r="C169" s="2" t="n">
        <v>352696.38</v>
      </c>
      <c r="D169" s="2" t="n">
        <v>5264677.42</v>
      </c>
      <c r="E169" s="2" t="n">
        <v>2163.1</v>
      </c>
      <c r="F169" s="6" t="n">
        <f aca="false">B168</f>
        <v>167</v>
      </c>
      <c r="G169" s="7" t="str">
        <f aca="false">_xlfn.CONCAT("X",B169)</f>
        <v>X168</v>
      </c>
      <c r="H169" s="6" t="n">
        <f aca="false">C169-C168</f>
        <v>-56.6199999999953</v>
      </c>
      <c r="I169" s="6" t="n">
        <f aca="false">D169-D168</f>
        <v>-22.070000000298</v>
      </c>
      <c r="J169" s="6" t="n">
        <f aca="false">E169-E168</f>
        <v>-2.90000000000009</v>
      </c>
    </row>
    <row r="170" customFormat="false" ht="12.8" hidden="false" customHeight="false" outlineLevel="0" collapsed="false">
      <c r="A170" s="6" t="s">
        <v>5</v>
      </c>
      <c r="B170" s="1" t="n">
        <v>169</v>
      </c>
      <c r="C170" s="2" t="n">
        <v>352704.65</v>
      </c>
      <c r="D170" s="2" t="n">
        <v>5264554.59</v>
      </c>
      <c r="E170" s="2" t="n">
        <v>2133.6</v>
      </c>
      <c r="F170" s="6" t="n">
        <f aca="false">B169</f>
        <v>168</v>
      </c>
      <c r="G170" s="7" t="str">
        <f aca="false">_xlfn.CONCAT("X",B170)</f>
        <v>X169</v>
      </c>
      <c r="H170" s="6" t="n">
        <f aca="false">C170-C169</f>
        <v>8.27000000001863</v>
      </c>
      <c r="I170" s="6" t="n">
        <f aca="false">D170-D169</f>
        <v>-122.830000000075</v>
      </c>
      <c r="J170" s="6" t="n">
        <f aca="false">E170-E169</f>
        <v>-29.5</v>
      </c>
    </row>
    <row r="171" customFormat="false" ht="12.8" hidden="false" customHeight="false" outlineLevel="0" collapsed="false">
      <c r="A171" s="6" t="s">
        <v>5</v>
      </c>
      <c r="B171" s="1" t="n">
        <v>170</v>
      </c>
      <c r="C171" s="2" t="n">
        <v>352688.51</v>
      </c>
      <c r="D171" s="2" t="n">
        <v>5264443.34</v>
      </c>
      <c r="E171" s="2" t="n">
        <v>2108.7</v>
      </c>
      <c r="F171" s="6" t="n">
        <f aca="false">B170</f>
        <v>169</v>
      </c>
      <c r="G171" s="7" t="str">
        <f aca="false">_xlfn.CONCAT("X",B171)</f>
        <v>X170</v>
      </c>
      <c r="H171" s="6" t="n">
        <f aca="false">C171-C170</f>
        <v>-16.140000000014</v>
      </c>
      <c r="I171" s="6" t="n">
        <f aca="false">D171-D170</f>
        <v>-111.25</v>
      </c>
      <c r="J171" s="6" t="n">
        <f aca="false">E171-E170</f>
        <v>-24.9000000000001</v>
      </c>
    </row>
    <row r="172" customFormat="false" ht="12.8" hidden="false" customHeight="false" outlineLevel="0" collapsed="false">
      <c r="A172" s="6" t="s">
        <v>5</v>
      </c>
      <c r="B172" s="1" t="n">
        <v>171</v>
      </c>
      <c r="C172" s="2" t="n">
        <v>352717.68</v>
      </c>
      <c r="D172" s="2" t="n">
        <v>5264372.27</v>
      </c>
      <c r="E172" s="2" t="n">
        <v>2131.3</v>
      </c>
      <c r="F172" s="6" t="n">
        <f aca="false">B171</f>
        <v>170</v>
      </c>
      <c r="G172" s="7" t="str">
        <f aca="false">_xlfn.CONCAT("X",B172)</f>
        <v>X171</v>
      </c>
      <c r="H172" s="6" t="n">
        <f aca="false">C172-C171</f>
        <v>29.1699999999837</v>
      </c>
      <c r="I172" s="6" t="n">
        <f aca="false">D172-D171</f>
        <v>-71.070000000298</v>
      </c>
      <c r="J172" s="6" t="n">
        <f aca="false">E172-E171</f>
        <v>22.6000000000004</v>
      </c>
    </row>
    <row r="173" customFormat="false" ht="12.8" hidden="false" customHeight="false" outlineLevel="0" collapsed="false">
      <c r="A173" s="6" t="s">
        <v>5</v>
      </c>
      <c r="B173" s="1" t="n">
        <v>172</v>
      </c>
      <c r="C173" s="2" t="n">
        <v>352800.28</v>
      </c>
      <c r="D173" s="2" t="n">
        <v>5264374.33</v>
      </c>
      <c r="E173" s="2" t="n">
        <v>2128.9</v>
      </c>
      <c r="F173" s="6" t="n">
        <f aca="false">B172</f>
        <v>171</v>
      </c>
      <c r="G173" s="7" t="str">
        <f aca="false">_xlfn.CONCAT("X",B173)</f>
        <v>X172</v>
      </c>
      <c r="H173" s="6" t="n">
        <f aca="false">C173-C172</f>
        <v>82.6000000000349</v>
      </c>
      <c r="I173" s="6" t="n">
        <f aca="false">D173-D172</f>
        <v>2.06000000052154</v>
      </c>
      <c r="J173" s="6" t="n">
        <f aca="false">E173-E172</f>
        <v>-2.40000000000009</v>
      </c>
    </row>
    <row r="174" customFormat="false" ht="12.8" hidden="false" customHeight="false" outlineLevel="0" collapsed="false">
      <c r="A174" s="6" t="s">
        <v>5</v>
      </c>
      <c r="B174" s="1" t="n">
        <v>173</v>
      </c>
      <c r="C174" s="2" t="n">
        <v>352890.99</v>
      </c>
      <c r="D174" s="2" t="n">
        <v>5264334.75</v>
      </c>
      <c r="E174" s="2" t="n">
        <v>2121.8</v>
      </c>
      <c r="F174" s="6" t="n">
        <f aca="false">B173</f>
        <v>172</v>
      </c>
      <c r="G174" s="7" t="str">
        <f aca="false">_xlfn.CONCAT("X",B174)</f>
        <v>X173</v>
      </c>
      <c r="H174" s="6" t="n">
        <f aca="false">C174-C173</f>
        <v>90.7099999999628</v>
      </c>
      <c r="I174" s="6" t="n">
        <f aca="false">D174-D173</f>
        <v>-39.5800000000745</v>
      </c>
      <c r="J174" s="6" t="n">
        <f aca="false">E174-E173</f>
        <v>-7.09999999999991</v>
      </c>
    </row>
    <row r="175" customFormat="false" ht="12.8" hidden="false" customHeight="false" outlineLevel="0" collapsed="false">
      <c r="A175" s="6" t="s">
        <v>5</v>
      </c>
      <c r="B175" s="1" t="n">
        <v>174</v>
      </c>
      <c r="C175" s="2" t="n">
        <v>352926.69</v>
      </c>
      <c r="D175" s="2" t="n">
        <v>5264262.94</v>
      </c>
      <c r="E175" s="2" t="n">
        <v>2135.8</v>
      </c>
      <c r="F175" s="6" t="n">
        <f aca="false">B174</f>
        <v>173</v>
      </c>
      <c r="G175" s="7" t="str">
        <f aca="false">_xlfn.CONCAT("X",B175)</f>
        <v>X174</v>
      </c>
      <c r="H175" s="6" t="n">
        <f aca="false">C175-C174</f>
        <v>35.7000000000116</v>
      </c>
      <c r="I175" s="6" t="n">
        <f aca="false">D175-D174</f>
        <v>-71.8099999995902</v>
      </c>
      <c r="J175" s="6" t="n">
        <f aca="false">E175-E174</f>
        <v>14</v>
      </c>
    </row>
    <row r="176" customFormat="false" ht="12.8" hidden="false" customHeight="false" outlineLevel="0" collapsed="false">
      <c r="A176" s="6" t="s">
        <v>5</v>
      </c>
      <c r="B176" s="1" t="n">
        <v>175</v>
      </c>
      <c r="C176" s="2" t="n">
        <v>352933.84</v>
      </c>
      <c r="D176" s="2" t="n">
        <v>5264219.98</v>
      </c>
      <c r="E176" s="2" t="n">
        <v>2142.5</v>
      </c>
      <c r="F176" s="6" t="n">
        <f aca="false">B175</f>
        <v>174</v>
      </c>
      <c r="G176" s="7" t="str">
        <f aca="false">_xlfn.CONCAT("X",B176)</f>
        <v>X175</v>
      </c>
      <c r="H176" s="6" t="n">
        <f aca="false">C176-C175</f>
        <v>7.15000000002328</v>
      </c>
      <c r="I176" s="6" t="n">
        <f aca="false">D176-D175</f>
        <v>-42.9599999999628</v>
      </c>
      <c r="J176" s="6" t="n">
        <f aca="false">E176-E175</f>
        <v>6.69999999999982</v>
      </c>
    </row>
    <row r="177" customFormat="false" ht="12.8" hidden="false" customHeight="false" outlineLevel="0" collapsed="false">
      <c r="A177" s="6" t="s">
        <v>5</v>
      </c>
      <c r="B177" s="1" t="n">
        <v>176</v>
      </c>
      <c r="C177" s="2" t="n">
        <v>352913.65</v>
      </c>
      <c r="D177" s="2" t="n">
        <v>5264065.49</v>
      </c>
      <c r="E177" s="2" t="n">
        <v>2108.1</v>
      </c>
      <c r="F177" s="6" t="n">
        <f aca="false">B176</f>
        <v>175</v>
      </c>
      <c r="G177" s="7" t="str">
        <f aca="false">_xlfn.CONCAT("X",B177)</f>
        <v>X176</v>
      </c>
      <c r="H177" s="6" t="n">
        <f aca="false">C177-C176</f>
        <v>-20.1900000000023</v>
      </c>
      <c r="I177" s="6" t="n">
        <f aca="false">D177-D176</f>
        <v>-154.490000000224</v>
      </c>
      <c r="J177" s="6" t="n">
        <f aca="false">E177-E176</f>
        <v>-34.4000000000001</v>
      </c>
    </row>
    <row r="178" customFormat="false" ht="12.8" hidden="false" customHeight="false" outlineLevel="0" collapsed="false">
      <c r="A178" s="6" t="s">
        <v>5</v>
      </c>
      <c r="B178" s="1" t="n">
        <v>177</v>
      </c>
      <c r="C178" s="2" t="n">
        <v>352907.24</v>
      </c>
      <c r="D178" s="2" t="n">
        <v>5263989</v>
      </c>
      <c r="E178" s="2" t="n">
        <v>2087.7</v>
      </c>
      <c r="F178" s="6" t="n">
        <f aca="false">B177</f>
        <v>176</v>
      </c>
      <c r="G178" s="7" t="str">
        <f aca="false">_xlfn.CONCAT("X",B178)</f>
        <v>X177</v>
      </c>
      <c r="H178" s="6" t="n">
        <f aca="false">C178-C177</f>
        <v>-6.4100000000326</v>
      </c>
      <c r="I178" s="6" t="n">
        <f aca="false">D178-D177</f>
        <v>-76.4900000002235</v>
      </c>
      <c r="J178" s="6" t="n">
        <f aca="false">E178-E177</f>
        <v>-20.4000000000001</v>
      </c>
    </row>
    <row r="179" customFormat="false" ht="12.8" hidden="false" customHeight="false" outlineLevel="0" collapsed="false">
      <c r="A179" s="6" t="s">
        <v>5</v>
      </c>
      <c r="B179" s="1" t="n">
        <v>178</v>
      </c>
      <c r="C179" s="2" t="n">
        <v>352873.17</v>
      </c>
      <c r="D179" s="2" t="n">
        <v>5263734.54</v>
      </c>
      <c r="E179" s="2" t="n">
        <v>1974.1</v>
      </c>
      <c r="F179" s="6" t="n">
        <f aca="false">B178</f>
        <v>177</v>
      </c>
      <c r="G179" s="7" t="str">
        <f aca="false">_xlfn.CONCAT("X",B179)</f>
        <v>X178</v>
      </c>
      <c r="H179" s="6" t="n">
        <f aca="false">C179-C178</f>
        <v>-34.070000000007</v>
      </c>
      <c r="I179" s="6" t="n">
        <f aca="false">D179-D178</f>
        <v>-254.459999999963</v>
      </c>
      <c r="J179" s="6" t="n">
        <f aca="false">E179-E178</f>
        <v>-113.6</v>
      </c>
    </row>
    <row r="180" customFormat="false" ht="12.8" hidden="false" customHeight="false" outlineLevel="0" collapsed="false">
      <c r="A180" s="6" t="s">
        <v>5</v>
      </c>
      <c r="B180" s="1" t="n">
        <v>179</v>
      </c>
      <c r="C180" s="2" t="n">
        <v>352904.72</v>
      </c>
      <c r="D180" s="2" t="n">
        <v>5263524.56</v>
      </c>
      <c r="E180" s="2" t="n">
        <v>2002.5</v>
      </c>
      <c r="F180" s="6" t="n">
        <f aca="false">B179</f>
        <v>178</v>
      </c>
      <c r="G180" s="7" t="str">
        <f aca="false">_xlfn.CONCAT("X",B180)</f>
        <v>X179</v>
      </c>
      <c r="H180" s="6" t="n">
        <f aca="false">C180-C179</f>
        <v>31.5499999999884</v>
      </c>
      <c r="I180" s="6" t="n">
        <f aca="false">D180-D179</f>
        <v>-209.980000000447</v>
      </c>
      <c r="J180" s="6" t="n">
        <f aca="false">E180-E179</f>
        <v>28.4000000000001</v>
      </c>
    </row>
    <row r="181" customFormat="false" ht="12.8" hidden="false" customHeight="false" outlineLevel="0" collapsed="false">
      <c r="A181" s="6" t="s">
        <v>5</v>
      </c>
      <c r="B181" s="1" t="n">
        <v>180</v>
      </c>
      <c r="C181" s="2" t="n">
        <v>352888.57</v>
      </c>
      <c r="D181" s="2" t="n">
        <v>5263360.39</v>
      </c>
      <c r="E181" s="2" t="n">
        <v>2068.1</v>
      </c>
      <c r="F181" s="6" t="n">
        <f aca="false">B180</f>
        <v>179</v>
      </c>
      <c r="G181" s="7" t="str">
        <f aca="false">_xlfn.CONCAT("X",B181)</f>
        <v>X180</v>
      </c>
      <c r="H181" s="6" t="n">
        <f aca="false">C181-C180</f>
        <v>-16.1499999999651</v>
      </c>
      <c r="I181" s="6" t="n">
        <f aca="false">D181-D180</f>
        <v>-164.169999999926</v>
      </c>
      <c r="J181" s="6" t="n">
        <f aca="false">E181-E180</f>
        <v>65.5999999999999</v>
      </c>
    </row>
    <row r="182" customFormat="false" ht="12.8" hidden="false" customHeight="false" outlineLevel="0" collapsed="false">
      <c r="A182" s="6" t="s">
        <v>5</v>
      </c>
      <c r="B182" s="1" t="n">
        <v>181</v>
      </c>
      <c r="C182" s="2" t="n">
        <v>352927.33</v>
      </c>
      <c r="D182" s="2" t="n">
        <v>5263221.04</v>
      </c>
      <c r="E182" s="2" t="n">
        <v>2131.3</v>
      </c>
      <c r="F182" s="6" t="n">
        <f aca="false">B181</f>
        <v>180</v>
      </c>
      <c r="G182" s="7" t="str">
        <f aca="false">_xlfn.CONCAT("X",B182)</f>
        <v>X181</v>
      </c>
      <c r="H182" s="6" t="n">
        <f aca="false">C182-C181</f>
        <v>38.7600000000093</v>
      </c>
      <c r="I182" s="6" t="n">
        <f aca="false">D182-D181</f>
        <v>-139.349999999627</v>
      </c>
      <c r="J182" s="6" t="n">
        <f aca="false">E182-E181</f>
        <v>63.2000000000003</v>
      </c>
    </row>
    <row r="183" customFormat="false" ht="12.8" hidden="false" customHeight="false" outlineLevel="0" collapsed="false">
      <c r="A183" s="6" t="s">
        <v>5</v>
      </c>
      <c r="B183" s="1" t="n">
        <v>182</v>
      </c>
      <c r="C183" s="2" t="n">
        <v>352909.53</v>
      </c>
      <c r="D183" s="2" t="n">
        <v>5263190</v>
      </c>
      <c r="E183" s="2" t="n">
        <v>2123.6</v>
      </c>
      <c r="F183" s="6" t="n">
        <f aca="false">B182</f>
        <v>181</v>
      </c>
      <c r="G183" s="7" t="str">
        <f aca="false">_xlfn.CONCAT("X",B183)</f>
        <v>X182</v>
      </c>
      <c r="H183" s="6" t="n">
        <f aca="false">C183-C182</f>
        <v>-17.7999999999884</v>
      </c>
      <c r="I183" s="6" t="n">
        <f aca="false">D183-D182</f>
        <v>-31.0400000000373</v>
      </c>
      <c r="J183" s="6" t="n">
        <f aca="false">E183-E182</f>
        <v>-7.70000000000027</v>
      </c>
    </row>
    <row r="184" customFormat="false" ht="12.8" hidden="false" customHeight="false" outlineLevel="0" collapsed="false">
      <c r="A184" s="6" t="s">
        <v>5</v>
      </c>
      <c r="B184" s="1" t="n">
        <v>183</v>
      </c>
      <c r="C184" s="2" t="n">
        <v>352857.15</v>
      </c>
      <c r="D184" s="2" t="n">
        <v>5262996.24</v>
      </c>
      <c r="E184" s="2" t="n">
        <v>2038.9</v>
      </c>
      <c r="F184" s="6" t="n">
        <f aca="false">B183</f>
        <v>182</v>
      </c>
      <c r="G184" s="7" t="str">
        <f aca="false">_xlfn.CONCAT("X",B184)</f>
        <v>X183</v>
      </c>
      <c r="H184" s="6" t="n">
        <f aca="false">C184-C183</f>
        <v>-52.3800000000047</v>
      </c>
      <c r="I184" s="6" t="n">
        <f aca="false">D184-D183</f>
        <v>-193.759999999776</v>
      </c>
      <c r="J184" s="6" t="n">
        <f aca="false">E184-E183</f>
        <v>-84.6999999999998</v>
      </c>
    </row>
    <row r="185" customFormat="false" ht="12.8" hidden="false" customHeight="false" outlineLevel="0" collapsed="false">
      <c r="A185" s="6" t="s">
        <v>5</v>
      </c>
      <c r="B185" s="1" t="n">
        <v>184</v>
      </c>
      <c r="C185" s="2" t="n">
        <v>352863.5</v>
      </c>
      <c r="D185" s="2" t="n">
        <v>5262943.71</v>
      </c>
      <c r="E185" s="2" t="n">
        <v>2054.3</v>
      </c>
      <c r="F185" s="6" t="n">
        <f aca="false">B184</f>
        <v>183</v>
      </c>
      <c r="G185" s="7" t="str">
        <f aca="false">_xlfn.CONCAT("X",B185)</f>
        <v>X184</v>
      </c>
      <c r="H185" s="6" t="n">
        <f aca="false">C185-C184</f>
        <v>6.34999999997672</v>
      </c>
      <c r="I185" s="6" t="n">
        <f aca="false">D185-D184</f>
        <v>-52.5300000002608</v>
      </c>
      <c r="J185" s="6" t="n">
        <f aca="false">E185-E184</f>
        <v>15.4000000000001</v>
      </c>
    </row>
    <row r="186" customFormat="false" ht="12.8" hidden="false" customHeight="false" outlineLevel="0" collapsed="false">
      <c r="A186" s="6" t="s">
        <v>5</v>
      </c>
      <c r="B186" s="1" t="n">
        <v>185</v>
      </c>
      <c r="C186" s="2" t="n">
        <v>352915.03</v>
      </c>
      <c r="D186" s="2" t="n">
        <v>5262801.24</v>
      </c>
      <c r="E186" s="2" t="n">
        <v>2074.8</v>
      </c>
      <c r="F186" s="6" t="n">
        <f aca="false">B185</f>
        <v>184</v>
      </c>
      <c r="G186" s="7" t="str">
        <f aca="false">_xlfn.CONCAT("X",B186)</f>
        <v>X185</v>
      </c>
      <c r="H186" s="6" t="n">
        <f aca="false">C186-C185</f>
        <v>51.5300000000279</v>
      </c>
      <c r="I186" s="6" t="n">
        <f aca="false">D186-D185</f>
        <v>-142.469999999739</v>
      </c>
      <c r="J186" s="6" t="n">
        <f aca="false">E186-E185</f>
        <v>20.5</v>
      </c>
    </row>
    <row r="187" customFormat="false" ht="12.8" hidden="false" customHeight="false" outlineLevel="0" collapsed="false">
      <c r="A187" s="6" t="s">
        <v>5</v>
      </c>
      <c r="B187" s="1" t="n">
        <v>186</v>
      </c>
      <c r="C187" s="2" t="n">
        <v>352979.46</v>
      </c>
      <c r="D187" s="2" t="n">
        <v>5262662.2</v>
      </c>
      <c r="E187" s="2" t="n">
        <v>2141.3</v>
      </c>
      <c r="F187" s="6" t="n">
        <f aca="false">B186</f>
        <v>185</v>
      </c>
      <c r="G187" s="7" t="str">
        <f aca="false">_xlfn.CONCAT("X",B187)</f>
        <v>X186</v>
      </c>
      <c r="H187" s="6" t="n">
        <f aca="false">C187-C186</f>
        <v>64.429999999993</v>
      </c>
      <c r="I187" s="6" t="n">
        <f aca="false">D187-D186</f>
        <v>-139.040000000037</v>
      </c>
      <c r="J187" s="6" t="n">
        <f aca="false">E187-E186</f>
        <v>66.5</v>
      </c>
    </row>
    <row r="188" customFormat="false" ht="12.8" hidden="false" customHeight="false" outlineLevel="0" collapsed="false">
      <c r="A188" s="6" t="s">
        <v>5</v>
      </c>
      <c r="B188" s="1" t="n">
        <v>187</v>
      </c>
      <c r="C188" s="2" t="n">
        <v>353002.24</v>
      </c>
      <c r="D188" s="2" t="n">
        <v>5262459.68</v>
      </c>
      <c r="E188" s="2" t="n">
        <v>2258.9</v>
      </c>
      <c r="F188" s="6" t="n">
        <f aca="false">B187</f>
        <v>186</v>
      </c>
      <c r="G188" s="7" t="str">
        <f aca="false">_xlfn.CONCAT("X",B188)</f>
        <v>X187</v>
      </c>
      <c r="H188" s="6" t="n">
        <f aca="false">C188-C187</f>
        <v>22.7799999999697</v>
      </c>
      <c r="I188" s="6" t="n">
        <f aca="false">D188-D187</f>
        <v>-202.520000000484</v>
      </c>
      <c r="J188" s="6" t="n">
        <f aca="false">E188-E187</f>
        <v>117.6</v>
      </c>
    </row>
    <row r="189" customFormat="false" ht="12.8" hidden="false" customHeight="false" outlineLevel="0" collapsed="false">
      <c r="A189" s="6" t="s">
        <v>5</v>
      </c>
      <c r="B189" s="1" t="n">
        <v>188</v>
      </c>
      <c r="C189" s="2" t="n">
        <v>353005.98</v>
      </c>
      <c r="D189" s="2" t="n">
        <v>5262371.55</v>
      </c>
      <c r="E189" s="2" t="n">
        <v>2268.7</v>
      </c>
      <c r="F189" s="6" t="n">
        <f aca="false">B188</f>
        <v>187</v>
      </c>
      <c r="G189" s="7" t="str">
        <f aca="false">_xlfn.CONCAT("X",B189)</f>
        <v>X188</v>
      </c>
      <c r="H189" s="6" t="n">
        <f aca="false">C189-C188</f>
        <v>3.73999999999069</v>
      </c>
      <c r="I189" s="6" t="n">
        <f aca="false">D189-D188</f>
        <v>-88.1299999998882</v>
      </c>
      <c r="J189" s="6" t="n">
        <f aca="false">E189-E188</f>
        <v>9.79999999999973</v>
      </c>
    </row>
    <row r="190" customFormat="false" ht="12.8" hidden="false" customHeight="false" outlineLevel="0" collapsed="false">
      <c r="A190" s="6" t="s">
        <v>5</v>
      </c>
      <c r="B190" s="1" t="n">
        <v>189</v>
      </c>
      <c r="C190" s="2" t="n">
        <v>352985.49</v>
      </c>
      <c r="D190" s="2" t="n">
        <v>5262174.66</v>
      </c>
      <c r="E190" s="2" t="n">
        <v>2251.5</v>
      </c>
      <c r="F190" s="6" t="n">
        <f aca="false">B189</f>
        <v>188</v>
      </c>
      <c r="G190" s="7" t="str">
        <f aca="false">_xlfn.CONCAT("X",B190)</f>
        <v>X189</v>
      </c>
      <c r="H190" s="6" t="n">
        <f aca="false">C190-C189</f>
        <v>-20.4899999999907</v>
      </c>
      <c r="I190" s="6" t="n">
        <f aca="false">D190-D189</f>
        <v>-196.889999999665</v>
      </c>
      <c r="J190" s="6" t="n">
        <f aca="false">E190-E189</f>
        <v>-17.1999999999998</v>
      </c>
    </row>
    <row r="191" customFormat="false" ht="12.8" hidden="false" customHeight="false" outlineLevel="0" collapsed="false">
      <c r="A191" s="6" t="s">
        <v>5</v>
      </c>
      <c r="B191" s="1" t="n">
        <v>190</v>
      </c>
      <c r="C191" s="2" t="n">
        <v>352822.92</v>
      </c>
      <c r="D191" s="2" t="n">
        <v>5261987.43</v>
      </c>
      <c r="E191" s="2" t="n">
        <v>2236.3</v>
      </c>
      <c r="F191" s="6" t="n">
        <f aca="false">B190</f>
        <v>189</v>
      </c>
      <c r="G191" s="7" t="str">
        <f aca="false">_xlfn.CONCAT("X",B191)</f>
        <v>X190</v>
      </c>
      <c r="H191" s="6" t="n">
        <f aca="false">C191-C190</f>
        <v>-162.570000000007</v>
      </c>
      <c r="I191" s="6" t="n">
        <f aca="false">D191-D190</f>
        <v>-187.230000000447</v>
      </c>
      <c r="J191" s="6" t="n">
        <f aca="false">E191-E190</f>
        <v>-15.1999999999998</v>
      </c>
    </row>
    <row r="192" customFormat="false" ht="12.8" hidden="false" customHeight="false" outlineLevel="0" collapsed="false">
      <c r="A192" s="6" t="s">
        <v>5</v>
      </c>
      <c r="B192" s="1" t="n">
        <v>191</v>
      </c>
      <c r="C192" s="2" t="n">
        <v>352941.8</v>
      </c>
      <c r="D192" s="2" t="n">
        <v>5261706.85</v>
      </c>
      <c r="E192" s="2" t="n">
        <v>2228.6</v>
      </c>
      <c r="F192" s="6" t="n">
        <f aca="false">B191</f>
        <v>190</v>
      </c>
      <c r="G192" s="7" t="str">
        <f aca="false">_xlfn.CONCAT("X",B192)</f>
        <v>X191</v>
      </c>
      <c r="H192" s="6" t="n">
        <f aca="false">C192-C191</f>
        <v>118.880000000005</v>
      </c>
      <c r="I192" s="6" t="n">
        <f aca="false">D192-D191</f>
        <v>-280.580000000075</v>
      </c>
      <c r="J192" s="6" t="n">
        <f aca="false">E192-E191</f>
        <v>-7.70000000000027</v>
      </c>
    </row>
    <row r="193" customFormat="false" ht="12.8" hidden="false" customHeight="false" outlineLevel="0" collapsed="false">
      <c r="A193" s="6" t="s">
        <v>5</v>
      </c>
      <c r="B193" s="1" t="n">
        <v>192</v>
      </c>
      <c r="C193" s="2" t="n">
        <v>352850.63</v>
      </c>
      <c r="D193" s="2" t="n">
        <v>5261678.37</v>
      </c>
      <c r="E193" s="2" t="n">
        <v>2214.7</v>
      </c>
      <c r="F193" s="6" t="n">
        <f aca="false">B192</f>
        <v>191</v>
      </c>
      <c r="G193" s="7" t="str">
        <f aca="false">_xlfn.CONCAT("X",B193)</f>
        <v>X192</v>
      </c>
      <c r="H193" s="6" t="n">
        <f aca="false">C193-C192</f>
        <v>-91.1699999999837</v>
      </c>
      <c r="I193" s="6" t="n">
        <f aca="false">D193-D192</f>
        <v>-28.4799999995157</v>
      </c>
      <c r="J193" s="6" t="n">
        <f aca="false">E193-E192</f>
        <v>-13.9000000000001</v>
      </c>
    </row>
    <row r="194" customFormat="false" ht="12.8" hidden="false" customHeight="false" outlineLevel="0" collapsed="false">
      <c r="A194" s="6" t="s">
        <v>5</v>
      </c>
      <c r="B194" s="1" t="n">
        <v>193</v>
      </c>
      <c r="C194" s="2" t="n">
        <v>352841.45</v>
      </c>
      <c r="D194" s="2" t="n">
        <v>5261672.75</v>
      </c>
      <c r="E194" s="2" t="n">
        <v>2209.7</v>
      </c>
      <c r="F194" s="6" t="n">
        <f aca="false">B193</f>
        <v>192</v>
      </c>
      <c r="G194" s="7" t="str">
        <f aca="false">_xlfn.CONCAT("X",B194)</f>
        <v>X193</v>
      </c>
      <c r="H194" s="6" t="n">
        <f aca="false">C194-C193</f>
        <v>-9.17999999999302</v>
      </c>
      <c r="I194" s="6" t="n">
        <f aca="false">D194-D193</f>
        <v>-5.62000000011176</v>
      </c>
      <c r="J194" s="6" t="n">
        <f aca="false">E194-E193</f>
        <v>-5</v>
      </c>
    </row>
    <row r="195" customFormat="false" ht="12.8" hidden="false" customHeight="false" outlineLevel="0" collapsed="false">
      <c r="A195" s="6" t="s">
        <v>5</v>
      </c>
      <c r="B195" s="1" t="n">
        <v>194</v>
      </c>
      <c r="C195" s="2" t="n">
        <v>352825.04</v>
      </c>
      <c r="D195" s="2" t="n">
        <v>5261660.7</v>
      </c>
      <c r="E195" s="2" t="n">
        <v>2201.7</v>
      </c>
      <c r="F195" s="6" t="n">
        <f aca="false">B194</f>
        <v>193</v>
      </c>
      <c r="G195" s="7" t="str">
        <f aca="false">_xlfn.CONCAT("X",B195)</f>
        <v>X194</v>
      </c>
      <c r="H195" s="6" t="n">
        <f aca="false">C195-C194</f>
        <v>-16.4100000000326</v>
      </c>
      <c r="I195" s="6" t="n">
        <f aca="false">D195-D194</f>
        <v>-12.0499999998137</v>
      </c>
      <c r="J195" s="6" t="n">
        <f aca="false">E195-E194</f>
        <v>-8</v>
      </c>
    </row>
    <row r="196" customFormat="false" ht="12.8" hidden="false" customHeight="false" outlineLevel="0" collapsed="false">
      <c r="A196" s="6" t="s">
        <v>5</v>
      </c>
      <c r="B196" s="1" t="n">
        <v>195</v>
      </c>
      <c r="C196" s="2" t="n">
        <v>352818.02</v>
      </c>
      <c r="D196" s="2" t="n">
        <v>5261654.14</v>
      </c>
      <c r="E196" s="2" t="n">
        <v>2204.7</v>
      </c>
      <c r="F196" s="6" t="n">
        <f aca="false">B195</f>
        <v>194</v>
      </c>
      <c r="G196" s="7" t="str">
        <f aca="false">_xlfn.CONCAT("X",B196)</f>
        <v>X195</v>
      </c>
      <c r="H196" s="6" t="n">
        <f aca="false">C196-C195</f>
        <v>-7.01999999996042</v>
      </c>
      <c r="I196" s="6" t="n">
        <f aca="false">D196-D195</f>
        <v>-6.56000000052154</v>
      </c>
      <c r="J196" s="6" t="n">
        <f aca="false">E196-E195</f>
        <v>3</v>
      </c>
    </row>
    <row r="197" customFormat="false" ht="12.8" hidden="false" customHeight="false" outlineLevel="0" collapsed="false">
      <c r="A197" s="6" t="s">
        <v>5</v>
      </c>
      <c r="B197" s="1" t="n">
        <v>196</v>
      </c>
      <c r="C197" s="2" t="n">
        <v>352811.94</v>
      </c>
      <c r="D197" s="2" t="n">
        <v>5261647.14</v>
      </c>
      <c r="E197" s="2" t="n">
        <v>2207.2</v>
      </c>
      <c r="F197" s="6" t="n">
        <f aca="false">B196</f>
        <v>195</v>
      </c>
      <c r="G197" s="7" t="str">
        <f aca="false">_xlfn.CONCAT("X",B197)</f>
        <v>X196</v>
      </c>
      <c r="H197" s="6" t="n">
        <f aca="false">C197-C196</f>
        <v>-6.0800000000163</v>
      </c>
      <c r="I197" s="6" t="n">
        <f aca="false">D197-D196</f>
        <v>-7</v>
      </c>
      <c r="J197" s="6" t="n">
        <f aca="false">E197-E196</f>
        <v>2.5</v>
      </c>
    </row>
    <row r="198" customFormat="false" ht="12.8" hidden="false" customHeight="false" outlineLevel="0" collapsed="false">
      <c r="A198" s="6" t="s">
        <v>5</v>
      </c>
      <c r="B198" s="1" t="n">
        <v>197</v>
      </c>
      <c r="C198" s="2" t="n">
        <v>352808.59</v>
      </c>
      <c r="D198" s="2" t="n">
        <v>5261642.83</v>
      </c>
      <c r="E198" s="2" t="n">
        <v>2205.8</v>
      </c>
      <c r="F198" s="6" t="n">
        <f aca="false">B197</f>
        <v>196</v>
      </c>
      <c r="G198" s="7" t="str">
        <f aca="false">_xlfn.CONCAT("X",B198)</f>
        <v>X197</v>
      </c>
      <c r="H198" s="6" t="n">
        <f aca="false">C198-C197</f>
        <v>-3.34999999997672</v>
      </c>
      <c r="I198" s="6" t="n">
        <f aca="false">D198-D197</f>
        <v>-4.30999999959022</v>
      </c>
      <c r="J198" s="6" t="n">
        <f aca="false">E198-E197</f>
        <v>-1.39999999999964</v>
      </c>
    </row>
    <row r="199" customFormat="false" ht="12.8" hidden="false" customHeight="false" outlineLevel="0" collapsed="false">
      <c r="A199" s="6" t="s">
        <v>5</v>
      </c>
      <c r="B199" s="1" t="n">
        <v>198</v>
      </c>
      <c r="C199" s="2" t="n">
        <v>352805.77</v>
      </c>
      <c r="D199" s="2" t="n">
        <v>5261639.88</v>
      </c>
      <c r="E199" s="2" t="n">
        <v>2198.5</v>
      </c>
      <c r="F199" s="6" t="n">
        <f aca="false">B198</f>
        <v>197</v>
      </c>
      <c r="G199" s="7" t="str">
        <f aca="false">_xlfn.CONCAT("X",B199)</f>
        <v>X198</v>
      </c>
      <c r="H199" s="6" t="n">
        <f aca="false">C199-C198</f>
        <v>-2.82000000000699</v>
      </c>
      <c r="I199" s="6" t="n">
        <f aca="false">D199-D198</f>
        <v>-2.95000000018626</v>
      </c>
      <c r="J199" s="6" t="n">
        <f aca="false">E199-E198</f>
        <v>-7.30000000000018</v>
      </c>
    </row>
    <row r="200" customFormat="false" ht="12.8" hidden="false" customHeight="false" outlineLevel="0" collapsed="false">
      <c r="A200" s="6" t="s">
        <v>5</v>
      </c>
      <c r="B200" s="1" t="n">
        <v>199</v>
      </c>
      <c r="C200" s="2" t="n">
        <v>352797.47</v>
      </c>
      <c r="D200" s="2" t="n">
        <v>5261633.44</v>
      </c>
      <c r="E200" s="2" t="n">
        <v>2197.3</v>
      </c>
      <c r="F200" s="6" t="n">
        <f aca="false">B199</f>
        <v>198</v>
      </c>
      <c r="G200" s="7" t="str">
        <f aca="false">_xlfn.CONCAT("X",B200)</f>
        <v>X199</v>
      </c>
      <c r="H200" s="6" t="n">
        <f aca="false">C200-C199</f>
        <v>-8.30000000004657</v>
      </c>
      <c r="I200" s="6" t="n">
        <f aca="false">D200-D199</f>
        <v>-6.43999999947846</v>
      </c>
      <c r="J200" s="6" t="n">
        <f aca="false">E200-E199</f>
        <v>-1.19999999999982</v>
      </c>
    </row>
    <row r="201" customFormat="false" ht="12.8" hidden="false" customHeight="false" outlineLevel="0" collapsed="false">
      <c r="A201" s="6" t="s">
        <v>5</v>
      </c>
      <c r="B201" s="1" t="n">
        <v>200</v>
      </c>
      <c r="C201" s="2" t="n">
        <v>352795.8</v>
      </c>
      <c r="D201" s="2" t="n">
        <v>5261632.45</v>
      </c>
      <c r="E201" s="2" t="n">
        <v>2195.2</v>
      </c>
      <c r="F201" s="6" t="n">
        <f aca="false">B200</f>
        <v>199</v>
      </c>
      <c r="G201" s="7" t="str">
        <f aca="false">_xlfn.CONCAT("X",B201)</f>
        <v>X200</v>
      </c>
      <c r="H201" s="6" t="n">
        <f aca="false">C201-C200</f>
        <v>-1.6699999999837</v>
      </c>
      <c r="I201" s="6" t="n">
        <f aca="false">D201-D200</f>
        <v>-0.990000000223517</v>
      </c>
      <c r="J201" s="6" t="n">
        <f aca="false">E201-E200</f>
        <v>-2.10000000000036</v>
      </c>
    </row>
    <row r="202" customFormat="false" ht="12.8" hidden="false" customHeight="false" outlineLevel="0" collapsed="false">
      <c r="A202" s="6" t="s">
        <v>5</v>
      </c>
      <c r="B202" s="1" t="n">
        <v>201</v>
      </c>
      <c r="C202" s="2" t="n">
        <v>352790.99</v>
      </c>
      <c r="D202" s="2" t="n">
        <v>5261630.5</v>
      </c>
      <c r="E202" s="2" t="n">
        <v>2191.4</v>
      </c>
      <c r="F202" s="6" t="n">
        <f aca="false">B201</f>
        <v>200</v>
      </c>
      <c r="G202" s="7" t="str">
        <f aca="false">_xlfn.CONCAT("X",B202)</f>
        <v>X201</v>
      </c>
      <c r="H202" s="6" t="n">
        <f aca="false">C202-C201</f>
        <v>-4.80999999999767</v>
      </c>
      <c r="I202" s="6" t="n">
        <f aca="false">D202-D201</f>
        <v>-1.95000000018626</v>
      </c>
      <c r="J202" s="6" t="n">
        <f aca="false">E202-E201</f>
        <v>-3.79999999999973</v>
      </c>
    </row>
    <row r="203" customFormat="false" ht="12.8" hidden="false" customHeight="false" outlineLevel="0" collapsed="false">
      <c r="A203" s="6" t="s">
        <v>5</v>
      </c>
      <c r="B203" s="1" t="n">
        <v>202</v>
      </c>
      <c r="C203" s="2" t="n">
        <v>352789.05</v>
      </c>
      <c r="D203" s="2" t="n">
        <v>5261629.35</v>
      </c>
      <c r="E203" s="2" t="n">
        <v>2192.1</v>
      </c>
      <c r="F203" s="6" t="n">
        <f aca="false">B202</f>
        <v>201</v>
      </c>
      <c r="G203" s="7" t="str">
        <f aca="false">_xlfn.CONCAT("X",B203)</f>
        <v>X202</v>
      </c>
      <c r="H203" s="6" t="n">
        <f aca="false">C203-C202</f>
        <v>-1.94000000000233</v>
      </c>
      <c r="I203" s="6" t="n">
        <f aca="false">D203-D202</f>
        <v>-1.15000000037253</v>
      </c>
      <c r="J203" s="6" t="n">
        <f aca="false">E203-E202</f>
        <v>0.699999999999818</v>
      </c>
    </row>
    <row r="204" customFormat="false" ht="12.8" hidden="false" customHeight="false" outlineLevel="0" collapsed="false">
      <c r="A204" s="6" t="s">
        <v>5</v>
      </c>
      <c r="B204" s="1" t="n">
        <v>203</v>
      </c>
      <c r="C204" s="2" t="n">
        <v>352786.82</v>
      </c>
      <c r="D204" s="2" t="n">
        <v>5261627.15</v>
      </c>
      <c r="E204" s="2" t="n">
        <v>2190.6</v>
      </c>
      <c r="F204" s="6" t="n">
        <f aca="false">B203</f>
        <v>202</v>
      </c>
      <c r="G204" s="7" t="str">
        <f aca="false">_xlfn.CONCAT("X",B204)</f>
        <v>X203</v>
      </c>
      <c r="H204" s="6" t="n">
        <f aca="false">C204-C203</f>
        <v>-2.22999999998137</v>
      </c>
      <c r="I204" s="6" t="n">
        <f aca="false">D204-D203</f>
        <v>-2.19999999925494</v>
      </c>
      <c r="J204" s="6" t="n">
        <f aca="false">E204-E203</f>
        <v>-1.5</v>
      </c>
    </row>
    <row r="205" customFormat="false" ht="12.8" hidden="false" customHeight="false" outlineLevel="0" collapsed="false">
      <c r="A205" s="6" t="s">
        <v>5</v>
      </c>
      <c r="B205" s="1" t="n">
        <v>204</v>
      </c>
      <c r="C205" s="2" t="n">
        <v>352763.99</v>
      </c>
      <c r="D205" s="2" t="n">
        <v>5261598.66</v>
      </c>
      <c r="E205" s="2" t="n">
        <v>2158.2</v>
      </c>
      <c r="F205" s="6" t="n">
        <f aca="false">B204</f>
        <v>203</v>
      </c>
      <c r="G205" s="7" t="str">
        <f aca="false">_xlfn.CONCAT("X",B205)</f>
        <v>X204</v>
      </c>
      <c r="H205" s="6" t="n">
        <f aca="false">C205-C204</f>
        <v>-22.8300000000163</v>
      </c>
      <c r="I205" s="6" t="n">
        <f aca="false">D205-D204</f>
        <v>-28.4900000002235</v>
      </c>
      <c r="J205" s="6" t="n">
        <f aca="false">E205-E204</f>
        <v>-32.4000000000001</v>
      </c>
    </row>
    <row r="206" customFormat="false" ht="12.8" hidden="false" customHeight="false" outlineLevel="0" collapsed="false">
      <c r="A206" s="6" t="s">
        <v>5</v>
      </c>
      <c r="B206" s="1" t="n">
        <v>205</v>
      </c>
      <c r="C206" s="2" t="n">
        <v>352761.7</v>
      </c>
      <c r="D206" s="2" t="n">
        <v>5261596.66</v>
      </c>
      <c r="E206" s="2" t="n">
        <v>2155.8</v>
      </c>
      <c r="F206" s="6" t="n">
        <f aca="false">B205</f>
        <v>204</v>
      </c>
      <c r="G206" s="7" t="str">
        <f aca="false">_xlfn.CONCAT("X",B206)</f>
        <v>X205</v>
      </c>
      <c r="H206" s="6" t="n">
        <f aca="false">C206-C205</f>
        <v>-2.28999999997905</v>
      </c>
      <c r="I206" s="6" t="n">
        <f aca="false">D206-D205</f>
        <v>-2</v>
      </c>
      <c r="J206" s="6" t="n">
        <f aca="false">E206-E205</f>
        <v>-2.39999999999964</v>
      </c>
    </row>
    <row r="207" customFormat="false" ht="12.8" hidden="false" customHeight="false" outlineLevel="0" collapsed="false">
      <c r="A207" s="6" t="s">
        <v>5</v>
      </c>
      <c r="B207" s="1" t="n">
        <v>206</v>
      </c>
      <c r="C207" s="2" t="n">
        <v>352759.08</v>
      </c>
      <c r="D207" s="2" t="n">
        <v>5261595</v>
      </c>
      <c r="E207" s="2" t="n">
        <v>2154.8</v>
      </c>
      <c r="F207" s="6" t="n">
        <f aca="false">B206</f>
        <v>205</v>
      </c>
      <c r="G207" s="7" t="str">
        <f aca="false">_xlfn.CONCAT("X",B207)</f>
        <v>X206</v>
      </c>
      <c r="H207" s="6" t="n">
        <f aca="false">C207-C206</f>
        <v>-2.61999999999534</v>
      </c>
      <c r="I207" s="6" t="n">
        <f aca="false">D207-D206</f>
        <v>-1.66000000014901</v>
      </c>
      <c r="J207" s="6" t="n">
        <f aca="false">E207-E206</f>
        <v>-1</v>
      </c>
    </row>
    <row r="208" customFormat="false" ht="12.8" hidden="false" customHeight="false" outlineLevel="0" collapsed="false">
      <c r="A208" s="6" t="s">
        <v>5</v>
      </c>
      <c r="B208" s="1" t="n">
        <v>207</v>
      </c>
      <c r="C208" s="2" t="n">
        <v>352753.35</v>
      </c>
      <c r="D208" s="2" t="n">
        <v>5261593.2</v>
      </c>
      <c r="E208" s="2" t="n">
        <v>2155.1</v>
      </c>
      <c r="F208" s="6" t="n">
        <f aca="false">B207</f>
        <v>206</v>
      </c>
      <c r="G208" s="7" t="str">
        <f aca="false">_xlfn.CONCAT("X",B208)</f>
        <v>X207</v>
      </c>
      <c r="H208" s="6" t="n">
        <f aca="false">C208-C207</f>
        <v>-5.73000000003958</v>
      </c>
      <c r="I208" s="6" t="n">
        <f aca="false">D208-D207</f>
        <v>-1.79999999981374</v>
      </c>
      <c r="J208" s="6" t="n">
        <f aca="false">E208-E207</f>
        <v>0.299999999999727</v>
      </c>
    </row>
    <row r="209" customFormat="false" ht="12.8" hidden="false" customHeight="false" outlineLevel="0" collapsed="false">
      <c r="A209" s="6" t="s">
        <v>5</v>
      </c>
      <c r="B209" s="1" t="n">
        <v>208</v>
      </c>
      <c r="C209" s="2" t="n">
        <v>352681.37</v>
      </c>
      <c r="D209" s="2" t="n">
        <v>5261580.45</v>
      </c>
      <c r="E209" s="2" t="n">
        <v>2138.2</v>
      </c>
      <c r="F209" s="6" t="n">
        <f aca="false">B208</f>
        <v>207</v>
      </c>
      <c r="G209" s="7" t="str">
        <f aca="false">_xlfn.CONCAT("X",B209)</f>
        <v>X208</v>
      </c>
      <c r="H209" s="6" t="n">
        <f aca="false">C209-C208</f>
        <v>-71.9799999999814</v>
      </c>
      <c r="I209" s="6" t="n">
        <f aca="false">D209-D208</f>
        <v>-12.75</v>
      </c>
      <c r="J209" s="6" t="n">
        <f aca="false">E209-E208</f>
        <v>-16.9000000000001</v>
      </c>
    </row>
    <row r="210" customFormat="false" ht="12.8" hidden="false" customHeight="false" outlineLevel="0" collapsed="false">
      <c r="A210" s="6" t="s">
        <v>5</v>
      </c>
      <c r="B210" s="1" t="n">
        <v>209</v>
      </c>
      <c r="C210" s="2" t="n">
        <v>352603.75</v>
      </c>
      <c r="D210" s="2" t="n">
        <v>5261492.75</v>
      </c>
      <c r="E210" s="2" t="n">
        <v>2066.7</v>
      </c>
      <c r="F210" s="6" t="n">
        <f aca="false">B209</f>
        <v>208</v>
      </c>
      <c r="G210" s="7" t="str">
        <f aca="false">_xlfn.CONCAT("X",B210)</f>
        <v>X209</v>
      </c>
      <c r="H210" s="6" t="n">
        <f aca="false">C210-C209</f>
        <v>-77.6199999999953</v>
      </c>
      <c r="I210" s="6" t="n">
        <f aca="false">D210-D209</f>
        <v>-87.7000000001863</v>
      </c>
      <c r="J210" s="6" t="n">
        <f aca="false">E210-E209</f>
        <v>-71.5</v>
      </c>
    </row>
    <row r="211" customFormat="false" ht="12.8" hidden="false" customHeight="false" outlineLevel="0" collapsed="false">
      <c r="A211" s="6" t="s">
        <v>5</v>
      </c>
      <c r="B211" s="1" t="n">
        <v>210</v>
      </c>
      <c r="C211" s="2" t="n">
        <v>352596.88</v>
      </c>
      <c r="D211" s="2" t="n">
        <v>5261487.07</v>
      </c>
      <c r="E211" s="2" t="n">
        <v>2064.3</v>
      </c>
      <c r="F211" s="6" t="n">
        <f aca="false">B210</f>
        <v>209</v>
      </c>
      <c r="G211" s="7" t="str">
        <f aca="false">_xlfn.CONCAT("X",B211)</f>
        <v>X210</v>
      </c>
      <c r="H211" s="6" t="n">
        <f aca="false">C211-C210</f>
        <v>-6.86999999999534</v>
      </c>
      <c r="I211" s="6" t="n">
        <f aca="false">D211-D210</f>
        <v>-5.67999999970198</v>
      </c>
      <c r="J211" s="6" t="n">
        <f aca="false">E211-E210</f>
        <v>-2.39999999999964</v>
      </c>
    </row>
    <row r="212" customFormat="false" ht="12.8" hidden="false" customHeight="false" outlineLevel="0" collapsed="false">
      <c r="A212" s="6" t="s">
        <v>5</v>
      </c>
      <c r="B212" s="1" t="n">
        <v>211</v>
      </c>
      <c r="C212" s="2" t="n">
        <v>352589.41</v>
      </c>
      <c r="D212" s="2" t="n">
        <v>5261478.37</v>
      </c>
      <c r="E212" s="2" t="n">
        <v>2062.4</v>
      </c>
      <c r="F212" s="6" t="n">
        <f aca="false">B211</f>
        <v>210</v>
      </c>
      <c r="G212" s="7" t="str">
        <f aca="false">_xlfn.CONCAT("X",B212)</f>
        <v>X211</v>
      </c>
      <c r="H212" s="6" t="n">
        <f aca="false">C212-C211</f>
        <v>-7.47000000003027</v>
      </c>
      <c r="I212" s="6" t="n">
        <f aca="false">D212-D211</f>
        <v>-8.70000000018627</v>
      </c>
      <c r="J212" s="6" t="n">
        <f aca="false">E212-E211</f>
        <v>-1.90000000000009</v>
      </c>
    </row>
    <row r="213" customFormat="false" ht="12.8" hidden="false" customHeight="false" outlineLevel="0" collapsed="false">
      <c r="A213" s="6" t="s">
        <v>5</v>
      </c>
      <c r="B213" s="1" t="n">
        <v>212</v>
      </c>
      <c r="C213" s="2" t="n">
        <v>352587.12</v>
      </c>
      <c r="D213" s="2" t="n">
        <v>5261476.56</v>
      </c>
      <c r="E213" s="2" t="n">
        <v>2062.3</v>
      </c>
      <c r="F213" s="6" t="n">
        <f aca="false">B212</f>
        <v>211</v>
      </c>
      <c r="G213" s="7" t="str">
        <f aca="false">_xlfn.CONCAT("X",B213)</f>
        <v>X212</v>
      </c>
      <c r="H213" s="6" t="n">
        <f aca="false">C213-C212</f>
        <v>-2.28999999997905</v>
      </c>
      <c r="I213" s="6" t="n">
        <f aca="false">D213-D212</f>
        <v>-1.81000000052154</v>
      </c>
      <c r="J213" s="6" t="n">
        <f aca="false">E213-E212</f>
        <v>-0.0999999999999091</v>
      </c>
    </row>
    <row r="214" customFormat="false" ht="12.8" hidden="false" customHeight="false" outlineLevel="0" collapsed="false">
      <c r="A214" s="6" t="s">
        <v>5</v>
      </c>
      <c r="B214" s="1" t="n">
        <v>213</v>
      </c>
      <c r="C214" s="2" t="n">
        <v>352583.77</v>
      </c>
      <c r="D214" s="2" t="n">
        <v>5261474.39</v>
      </c>
      <c r="E214" s="2" t="n">
        <v>2063.1</v>
      </c>
      <c r="F214" s="6" t="n">
        <f aca="false">B213</f>
        <v>212</v>
      </c>
      <c r="G214" s="7" t="str">
        <f aca="false">_xlfn.CONCAT("X",B214)</f>
        <v>X213</v>
      </c>
      <c r="H214" s="6" t="n">
        <f aca="false">C214-C213</f>
        <v>-3.34999999997672</v>
      </c>
      <c r="I214" s="6" t="n">
        <f aca="false">D214-D213</f>
        <v>-2.16999999992549</v>
      </c>
      <c r="J214" s="6" t="n">
        <f aca="false">E214-E213</f>
        <v>0.799999999999727</v>
      </c>
    </row>
    <row r="215" customFormat="false" ht="12.8" hidden="false" customHeight="false" outlineLevel="0" collapsed="false">
      <c r="A215" s="6" t="s">
        <v>5</v>
      </c>
      <c r="B215" s="1" t="n">
        <v>214</v>
      </c>
      <c r="C215" s="2" t="n">
        <v>352575.32</v>
      </c>
      <c r="D215" s="2" t="n">
        <v>5261472.05</v>
      </c>
      <c r="E215" s="2" t="n">
        <v>2066.9</v>
      </c>
      <c r="F215" s="6" t="n">
        <f aca="false">B214</f>
        <v>213</v>
      </c>
      <c r="G215" s="7" t="str">
        <f aca="false">_xlfn.CONCAT("X",B215)</f>
        <v>X214</v>
      </c>
      <c r="H215" s="6" t="n">
        <f aca="false">C215-C214</f>
        <v>-8.45000000001164</v>
      </c>
      <c r="I215" s="6" t="n">
        <f aca="false">D215-D214</f>
        <v>-2.33999999985099</v>
      </c>
      <c r="J215" s="6" t="n">
        <f aca="false">E215-E214</f>
        <v>3.80000000000018</v>
      </c>
    </row>
    <row r="216" customFormat="false" ht="12.8" hidden="false" customHeight="false" outlineLevel="0" collapsed="false">
      <c r="A216" s="6" t="s">
        <v>5</v>
      </c>
      <c r="B216" s="1" t="n">
        <v>215</v>
      </c>
      <c r="C216" s="2" t="n">
        <v>352572.5</v>
      </c>
      <c r="D216" s="2" t="n">
        <v>5261470.06</v>
      </c>
      <c r="E216" s="2" t="n">
        <v>2069.4</v>
      </c>
      <c r="F216" s="6" t="n">
        <f aca="false">B215</f>
        <v>214</v>
      </c>
      <c r="G216" s="7" t="str">
        <f aca="false">_xlfn.CONCAT("X",B216)</f>
        <v>X215</v>
      </c>
      <c r="H216" s="6" t="n">
        <f aca="false">C216-C215</f>
        <v>-2.82000000000699</v>
      </c>
      <c r="I216" s="6" t="n">
        <f aca="false">D216-D215</f>
        <v>-1.99000000022352</v>
      </c>
      <c r="J216" s="6" t="n">
        <f aca="false">E216-E215</f>
        <v>2.5</v>
      </c>
    </row>
    <row r="217" customFormat="false" ht="12.8" hidden="false" customHeight="false" outlineLevel="0" collapsed="false">
      <c r="A217" s="6" t="s">
        <v>5</v>
      </c>
      <c r="B217" s="1" t="n">
        <v>216</v>
      </c>
      <c r="C217" s="2" t="n">
        <v>352571.35</v>
      </c>
      <c r="D217" s="2" t="n">
        <v>5261469.03</v>
      </c>
      <c r="E217" s="2" t="n">
        <v>2070.3</v>
      </c>
      <c r="F217" s="6" t="n">
        <f aca="false">B216</f>
        <v>215</v>
      </c>
      <c r="G217" s="7" t="str">
        <f aca="false">_xlfn.CONCAT("X",B217)</f>
        <v>X216</v>
      </c>
      <c r="H217" s="6" t="n">
        <f aca="false">C217-C216</f>
        <v>-1.15000000002328</v>
      </c>
      <c r="I217" s="6" t="n">
        <f aca="false">D217-D216</f>
        <v>-1.02999999932945</v>
      </c>
      <c r="J217" s="6" t="n">
        <f aca="false">E217-E216</f>
        <v>0.900000000000091</v>
      </c>
    </row>
    <row r="218" customFormat="false" ht="12.8" hidden="false" customHeight="false" outlineLevel="0" collapsed="false">
      <c r="A218" s="6" t="s">
        <v>5</v>
      </c>
      <c r="B218" s="1" t="n">
        <v>217</v>
      </c>
      <c r="C218" s="2" t="n">
        <v>352570.25</v>
      </c>
      <c r="D218" s="2" t="n">
        <v>5261467.07</v>
      </c>
      <c r="E218" s="2" t="n">
        <v>2070.7</v>
      </c>
      <c r="F218" s="6" t="n">
        <f aca="false">B217</f>
        <v>216</v>
      </c>
      <c r="G218" s="7" t="str">
        <f aca="false">_xlfn.CONCAT("X",B218)</f>
        <v>X217</v>
      </c>
      <c r="H218" s="6" t="n">
        <f aca="false">C218-C217</f>
        <v>-1.09999999997672</v>
      </c>
      <c r="I218" s="6" t="n">
        <f aca="false">D218-D217</f>
        <v>-1.95999999996275</v>
      </c>
      <c r="J218" s="6" t="n">
        <f aca="false">E218-E217</f>
        <v>0.399999999999636</v>
      </c>
    </row>
    <row r="219" customFormat="false" ht="12.8" hidden="false" customHeight="false" outlineLevel="0" collapsed="false">
      <c r="A219" s="6" t="s">
        <v>5</v>
      </c>
      <c r="B219" s="1" t="n">
        <v>218</v>
      </c>
      <c r="C219" s="2" t="n">
        <v>352569.25</v>
      </c>
      <c r="D219" s="2" t="n">
        <v>5261463.52</v>
      </c>
      <c r="E219" s="2" t="n">
        <v>2073.8</v>
      </c>
      <c r="F219" s="6" t="n">
        <f aca="false">B218</f>
        <v>217</v>
      </c>
      <c r="G219" s="7" t="str">
        <f aca="false">_xlfn.CONCAT("X",B219)</f>
        <v>X218</v>
      </c>
      <c r="H219" s="6" t="n">
        <f aca="false">C219-C218</f>
        <v>-1</v>
      </c>
      <c r="I219" s="6" t="n">
        <f aca="false">D219-D218</f>
        <v>-3.55000000074506</v>
      </c>
      <c r="J219" s="6" t="n">
        <f aca="false">E219-E218</f>
        <v>3.10000000000036</v>
      </c>
    </row>
    <row r="220" customFormat="false" ht="12.8" hidden="false" customHeight="false" outlineLevel="0" collapsed="false">
      <c r="A220" s="6" t="s">
        <v>5</v>
      </c>
      <c r="B220" s="1" t="n">
        <v>219</v>
      </c>
      <c r="C220" s="2" t="n">
        <v>352568.08</v>
      </c>
      <c r="D220" s="2" t="n">
        <v>5261461.23</v>
      </c>
      <c r="E220" s="2" t="n">
        <v>2076.7</v>
      </c>
      <c r="F220" s="6" t="n">
        <f aca="false">B219</f>
        <v>218</v>
      </c>
      <c r="G220" s="7" t="str">
        <f aca="false">_xlfn.CONCAT("X",B220)</f>
        <v>X219</v>
      </c>
      <c r="H220" s="6" t="n">
        <f aca="false">C220-C219</f>
        <v>-1.1699999999837</v>
      </c>
      <c r="I220" s="6" t="n">
        <f aca="false">D220-D219</f>
        <v>-2.28999999910593</v>
      </c>
      <c r="J220" s="6" t="n">
        <f aca="false">E220-E219</f>
        <v>2.89999999999964</v>
      </c>
    </row>
    <row r="221" customFormat="false" ht="12.8" hidden="false" customHeight="false" outlineLevel="0" collapsed="false">
      <c r="A221" s="6" t="s">
        <v>5</v>
      </c>
      <c r="B221" s="1" t="n">
        <v>220</v>
      </c>
      <c r="C221" s="2" t="n">
        <v>352563.17</v>
      </c>
      <c r="D221" s="2" t="n">
        <v>5261454.19</v>
      </c>
      <c r="E221" s="2" t="n">
        <v>2085.9</v>
      </c>
      <c r="F221" s="6" t="n">
        <f aca="false">B220</f>
        <v>219</v>
      </c>
      <c r="G221" s="7" t="str">
        <f aca="false">_xlfn.CONCAT("X",B221)</f>
        <v>X220</v>
      </c>
      <c r="H221" s="6" t="n">
        <f aca="false">C221-C220</f>
        <v>-4.9100000000326</v>
      </c>
      <c r="I221" s="6" t="n">
        <f aca="false">D221-D220</f>
        <v>-7.04000000003725</v>
      </c>
      <c r="J221" s="6" t="n">
        <f aca="false">E221-E220</f>
        <v>9.20000000000027</v>
      </c>
    </row>
    <row r="222" customFormat="false" ht="12.8" hidden="false" customHeight="false" outlineLevel="0" collapsed="false">
      <c r="A222" s="6" t="s">
        <v>5</v>
      </c>
      <c r="B222" s="1" t="n">
        <v>221</v>
      </c>
      <c r="C222" s="2" t="n">
        <v>352562.26</v>
      </c>
      <c r="D222" s="2" t="n">
        <v>5261451.89</v>
      </c>
      <c r="E222" s="2" t="n">
        <v>2090</v>
      </c>
      <c r="F222" s="6" t="n">
        <f aca="false">B221</f>
        <v>220</v>
      </c>
      <c r="G222" s="7" t="str">
        <f aca="false">_xlfn.CONCAT("X",B222)</f>
        <v>X221</v>
      </c>
      <c r="H222" s="6" t="n">
        <f aca="false">C222-C221</f>
        <v>-0.909999999974389</v>
      </c>
      <c r="I222" s="6" t="n">
        <f aca="false">D222-D221</f>
        <v>-2.30000000074506</v>
      </c>
      <c r="J222" s="6" t="n">
        <f aca="false">E222-E221</f>
        <v>4.09999999999991</v>
      </c>
    </row>
    <row r="223" customFormat="false" ht="12.8" hidden="false" customHeight="false" outlineLevel="0" collapsed="false">
      <c r="A223" s="6" t="s">
        <v>5</v>
      </c>
      <c r="B223" s="1" t="n">
        <v>222</v>
      </c>
      <c r="C223" s="2" t="n">
        <v>352559.65</v>
      </c>
      <c r="D223" s="2" t="n">
        <v>5261444.34</v>
      </c>
      <c r="E223" s="2" t="n">
        <v>2096.7</v>
      </c>
      <c r="F223" s="6" t="n">
        <f aca="false">B222</f>
        <v>221</v>
      </c>
      <c r="G223" s="7" t="str">
        <f aca="false">_xlfn.CONCAT("X",B223)</f>
        <v>X222</v>
      </c>
      <c r="H223" s="6" t="n">
        <f aca="false">C223-C222</f>
        <v>-2.60999999998603</v>
      </c>
      <c r="I223" s="6" t="n">
        <f aca="false">D223-D222</f>
        <v>-7.54999999981374</v>
      </c>
      <c r="J223" s="6" t="n">
        <f aca="false">E223-E222</f>
        <v>6.69999999999982</v>
      </c>
    </row>
    <row r="224" customFormat="false" ht="12.8" hidden="false" customHeight="false" outlineLevel="0" collapsed="false">
      <c r="A224" s="6" t="s">
        <v>5</v>
      </c>
      <c r="B224" s="1" t="n">
        <v>223</v>
      </c>
      <c r="C224" s="2" t="n">
        <v>352558.15</v>
      </c>
      <c r="D224" s="2" t="n">
        <v>5261436.37</v>
      </c>
      <c r="E224" s="2" t="n">
        <v>2107.6</v>
      </c>
      <c r="F224" s="6" t="n">
        <f aca="false">B223</f>
        <v>222</v>
      </c>
      <c r="G224" s="7" t="str">
        <f aca="false">_xlfn.CONCAT("X",B224)</f>
        <v>X223</v>
      </c>
      <c r="H224" s="6" t="n">
        <f aca="false">C224-C223</f>
        <v>-1.5</v>
      </c>
      <c r="I224" s="6" t="n">
        <f aca="false">D224-D223</f>
        <v>-7.96999999973923</v>
      </c>
      <c r="J224" s="6" t="n">
        <f aca="false">E224-E223</f>
        <v>10.9000000000001</v>
      </c>
    </row>
    <row r="225" customFormat="false" ht="12.8" hidden="false" customHeight="false" outlineLevel="0" collapsed="false">
      <c r="A225" s="6" t="s">
        <v>5</v>
      </c>
      <c r="B225" s="1" t="n">
        <v>224</v>
      </c>
      <c r="C225" s="2" t="n">
        <v>352556.97</v>
      </c>
      <c r="D225" s="2" t="n">
        <v>5261427.26</v>
      </c>
      <c r="E225" s="2" t="n">
        <v>2112.8</v>
      </c>
      <c r="F225" s="6" t="n">
        <f aca="false">B224</f>
        <v>223</v>
      </c>
      <c r="G225" s="7" t="str">
        <f aca="false">_xlfn.CONCAT("X",B225)</f>
        <v>X224</v>
      </c>
      <c r="H225" s="6" t="n">
        <f aca="false">C225-C224</f>
        <v>-1.18000000005122</v>
      </c>
      <c r="I225" s="6" t="n">
        <f aca="false">D225-D224</f>
        <v>-9.11000000033528</v>
      </c>
      <c r="J225" s="6" t="n">
        <f aca="false">E225-E224</f>
        <v>5.20000000000027</v>
      </c>
    </row>
    <row r="226" customFormat="false" ht="12.8" hidden="false" customHeight="false" outlineLevel="0" collapsed="false">
      <c r="A226" s="6" t="s">
        <v>5</v>
      </c>
      <c r="B226" s="1" t="n">
        <v>225</v>
      </c>
      <c r="C226" s="2" t="n">
        <v>352556.79</v>
      </c>
      <c r="D226" s="2" t="n">
        <v>5261419</v>
      </c>
      <c r="E226" s="2" t="n">
        <v>2111.7</v>
      </c>
      <c r="F226" s="6" t="n">
        <f aca="false">B225</f>
        <v>224</v>
      </c>
      <c r="G226" s="7" t="str">
        <f aca="false">_xlfn.CONCAT("X",B226)</f>
        <v>X225</v>
      </c>
      <c r="H226" s="6" t="n">
        <f aca="false">C226-C225</f>
        <v>-0.179999999993015</v>
      </c>
      <c r="I226" s="6" t="n">
        <f aca="false">D226-D225</f>
        <v>-8.25999999977648</v>
      </c>
      <c r="J226" s="6" t="n">
        <f aca="false">E226-E225</f>
        <v>-1.10000000000036</v>
      </c>
    </row>
    <row r="227" customFormat="false" ht="12.8" hidden="false" customHeight="false" outlineLevel="0" collapsed="false">
      <c r="A227" s="6" t="s">
        <v>5</v>
      </c>
      <c r="B227" s="1" t="n">
        <v>226</v>
      </c>
      <c r="C227" s="2" t="n">
        <v>352556.95</v>
      </c>
      <c r="D227" s="2" t="n">
        <v>5261411.06</v>
      </c>
      <c r="E227" s="2" t="n">
        <v>2125.3</v>
      </c>
      <c r="F227" s="6" t="n">
        <f aca="false">B226</f>
        <v>225</v>
      </c>
      <c r="G227" s="7" t="str">
        <f aca="false">_xlfn.CONCAT("X",B227)</f>
        <v>X226</v>
      </c>
      <c r="H227" s="6" t="n">
        <f aca="false">C227-C226</f>
        <v>0.160000000032596</v>
      </c>
      <c r="I227" s="6" t="n">
        <f aca="false">D227-D226</f>
        <v>-7.94000000040978</v>
      </c>
      <c r="J227" s="6" t="n">
        <f aca="false">E227-E226</f>
        <v>13.6000000000004</v>
      </c>
    </row>
    <row r="228" customFormat="false" ht="12.8" hidden="false" customHeight="false" outlineLevel="0" collapsed="false">
      <c r="A228" s="6" t="s">
        <v>5</v>
      </c>
      <c r="B228" s="1" t="n">
        <v>227</v>
      </c>
      <c r="C228" s="2" t="n">
        <v>352556.9</v>
      </c>
      <c r="D228" s="2" t="n">
        <v>5261409.01</v>
      </c>
      <c r="E228" s="2" t="n">
        <v>2127.2</v>
      </c>
      <c r="F228" s="6" t="n">
        <f aca="false">B227</f>
        <v>226</v>
      </c>
      <c r="G228" s="7" t="str">
        <f aca="false">_xlfn.CONCAT("X",B228)</f>
        <v>X227</v>
      </c>
      <c r="H228" s="6" t="n">
        <f aca="false">C228-C227</f>
        <v>-0.0499999999883585</v>
      </c>
      <c r="I228" s="6" t="n">
        <f aca="false">D228-D227</f>
        <v>-2.04999999981374</v>
      </c>
      <c r="J228" s="6" t="n">
        <f aca="false">E228-E227</f>
        <v>1.89999999999964</v>
      </c>
    </row>
    <row r="229" customFormat="false" ht="12.8" hidden="false" customHeight="false" outlineLevel="0" collapsed="false">
      <c r="A229" s="6" t="s">
        <v>5</v>
      </c>
      <c r="B229" s="1" t="n">
        <v>228</v>
      </c>
      <c r="C229" s="2" t="n">
        <v>352556.11</v>
      </c>
      <c r="D229" s="2" t="n">
        <v>5261405.85</v>
      </c>
      <c r="E229" s="2" t="n">
        <v>2130.2</v>
      </c>
      <c r="F229" s="6" t="n">
        <f aca="false">B228</f>
        <v>227</v>
      </c>
      <c r="G229" s="7" t="str">
        <f aca="false">_xlfn.CONCAT("X",B229)</f>
        <v>X228</v>
      </c>
      <c r="H229" s="6" t="n">
        <f aca="false">C229-C228</f>
        <v>-0.790000000037253</v>
      </c>
      <c r="I229" s="6" t="n">
        <f aca="false">D229-D228</f>
        <v>-3.16000000014901</v>
      </c>
      <c r="J229" s="6" t="n">
        <f aca="false">E229-E228</f>
        <v>3</v>
      </c>
    </row>
    <row r="230" customFormat="false" ht="12.8" hidden="false" customHeight="false" outlineLevel="0" collapsed="false">
      <c r="A230" s="6" t="s">
        <v>5</v>
      </c>
      <c r="B230" s="1" t="n">
        <v>229</v>
      </c>
      <c r="C230" s="2" t="n">
        <v>352555.19</v>
      </c>
      <c r="D230" s="2" t="n">
        <v>5261403.03</v>
      </c>
      <c r="E230" s="2" t="n">
        <v>2132.3</v>
      </c>
      <c r="F230" s="6" t="n">
        <f aca="false">B229</f>
        <v>228</v>
      </c>
      <c r="G230" s="7" t="str">
        <f aca="false">_xlfn.CONCAT("X",B230)</f>
        <v>X229</v>
      </c>
      <c r="H230" s="6" t="n">
        <f aca="false">C230-C229</f>
        <v>-0.919999999983702</v>
      </c>
      <c r="I230" s="6" t="n">
        <f aca="false">D230-D229</f>
        <v>-2.8199999993667</v>
      </c>
      <c r="J230" s="6" t="n">
        <f aca="false">E230-E229</f>
        <v>2.10000000000036</v>
      </c>
    </row>
    <row r="231" customFormat="false" ht="12.8" hidden="false" customHeight="false" outlineLevel="0" collapsed="false">
      <c r="A231" s="6" t="s">
        <v>5</v>
      </c>
      <c r="B231" s="1" t="n">
        <v>230</v>
      </c>
      <c r="C231" s="2" t="n">
        <v>352553.11</v>
      </c>
      <c r="D231" s="2" t="n">
        <v>5261398.7</v>
      </c>
      <c r="E231" s="2" t="n">
        <v>2135.3</v>
      </c>
      <c r="F231" s="6" t="n">
        <f aca="false">B230</f>
        <v>229</v>
      </c>
      <c r="G231" s="7" t="str">
        <f aca="false">_xlfn.CONCAT("X",B231)</f>
        <v>X230</v>
      </c>
      <c r="H231" s="6" t="n">
        <f aca="false">C231-C230</f>
        <v>-2.0800000000163</v>
      </c>
      <c r="I231" s="6" t="n">
        <f aca="false">D231-D230</f>
        <v>-4.33000000007451</v>
      </c>
      <c r="J231" s="6" t="n">
        <f aca="false">E231-E230</f>
        <v>3</v>
      </c>
    </row>
    <row r="232" customFormat="false" ht="12.8" hidden="false" customHeight="false" outlineLevel="0" collapsed="false">
      <c r="A232" s="6" t="s">
        <v>5</v>
      </c>
      <c r="B232" s="1" t="n">
        <v>231</v>
      </c>
      <c r="C232" s="2" t="n">
        <v>352551.67</v>
      </c>
      <c r="D232" s="2" t="n">
        <v>5261396.29</v>
      </c>
      <c r="E232" s="2" t="n">
        <v>2136.5</v>
      </c>
      <c r="F232" s="6" t="n">
        <f aca="false">B231</f>
        <v>230</v>
      </c>
      <c r="G232" s="7" t="str">
        <f aca="false">_xlfn.CONCAT("X",B232)</f>
        <v>X231</v>
      </c>
      <c r="H232" s="6" t="n">
        <f aca="false">C232-C231</f>
        <v>-1.44000000000233</v>
      </c>
      <c r="I232" s="6" t="n">
        <f aca="false">D232-D231</f>
        <v>-2.41000000014901</v>
      </c>
      <c r="J232" s="6" t="n">
        <f aca="false">E232-E231</f>
        <v>1.19999999999982</v>
      </c>
    </row>
    <row r="233" customFormat="false" ht="12.8" hidden="false" customHeight="false" outlineLevel="0" collapsed="false">
      <c r="A233" s="6" t="s">
        <v>5</v>
      </c>
      <c r="B233" s="1" t="n">
        <v>232</v>
      </c>
      <c r="C233" s="2" t="n">
        <v>352547.79</v>
      </c>
      <c r="D233" s="2" t="n">
        <v>5261387.84</v>
      </c>
      <c r="E233" s="2" t="n">
        <v>2146.9</v>
      </c>
      <c r="F233" s="6" t="n">
        <f aca="false">B232</f>
        <v>231</v>
      </c>
      <c r="G233" s="7" t="str">
        <f aca="false">_xlfn.CONCAT("X",B233)</f>
        <v>X232</v>
      </c>
      <c r="H233" s="6" t="n">
        <f aca="false">C233-C232</f>
        <v>-3.88000000000466</v>
      </c>
      <c r="I233" s="6" t="n">
        <f aca="false">D233-D232</f>
        <v>-8.45000000018627</v>
      </c>
      <c r="J233" s="6" t="n">
        <f aca="false">E233-E232</f>
        <v>10.4000000000001</v>
      </c>
    </row>
    <row r="234" customFormat="false" ht="12.8" hidden="false" customHeight="false" outlineLevel="0" collapsed="false">
      <c r="A234" s="6" t="s">
        <v>5</v>
      </c>
      <c r="B234" s="1" t="n">
        <v>233</v>
      </c>
      <c r="C234" s="2" t="n">
        <v>352547.09</v>
      </c>
      <c r="D234" s="2" t="n">
        <v>5261386.07</v>
      </c>
      <c r="E234" s="2" t="n">
        <v>2148.9</v>
      </c>
      <c r="F234" s="6" t="n">
        <f aca="false">B233</f>
        <v>232</v>
      </c>
      <c r="G234" s="7" t="str">
        <f aca="false">_xlfn.CONCAT("X",B234)</f>
        <v>X233</v>
      </c>
      <c r="H234" s="6" t="n">
        <f aca="false">C234-C233</f>
        <v>-0.699999999953434</v>
      </c>
      <c r="I234" s="6" t="n">
        <f aca="false">D234-D233</f>
        <v>-1.76999999955297</v>
      </c>
      <c r="J234" s="6" t="n">
        <f aca="false">E234-E233</f>
        <v>2</v>
      </c>
    </row>
    <row r="235" customFormat="false" ht="12.8" hidden="false" customHeight="false" outlineLevel="0" collapsed="false">
      <c r="A235" s="6" t="s">
        <v>5</v>
      </c>
      <c r="B235" s="1" t="n">
        <v>234</v>
      </c>
      <c r="C235" s="2" t="n">
        <v>352536.2</v>
      </c>
      <c r="D235" s="2" t="n">
        <v>5261369.23</v>
      </c>
      <c r="E235" s="2" t="n">
        <v>2159.2</v>
      </c>
      <c r="F235" s="6" t="n">
        <f aca="false">B234</f>
        <v>233</v>
      </c>
      <c r="G235" s="7" t="str">
        <f aca="false">_xlfn.CONCAT("X",B235)</f>
        <v>X234</v>
      </c>
      <c r="H235" s="6" t="n">
        <f aca="false">C235-C234</f>
        <v>-10.890000000014</v>
      </c>
      <c r="I235" s="6" t="n">
        <f aca="false">D235-D234</f>
        <v>-16.839999999851</v>
      </c>
      <c r="J235" s="6" t="n">
        <f aca="false">E235-E234</f>
        <v>10.2999999999997</v>
      </c>
    </row>
    <row r="236" customFormat="false" ht="12.8" hidden="false" customHeight="false" outlineLevel="0" collapsed="false">
      <c r="A236" s="6" t="s">
        <v>5</v>
      </c>
      <c r="B236" s="1" t="n">
        <v>235</v>
      </c>
      <c r="C236" s="2" t="n">
        <v>352533.5</v>
      </c>
      <c r="D236" s="2" t="n">
        <v>5261366.51</v>
      </c>
      <c r="E236" s="2" t="n">
        <v>2164</v>
      </c>
      <c r="F236" s="6" t="n">
        <f aca="false">B235</f>
        <v>234</v>
      </c>
      <c r="G236" s="7" t="str">
        <f aca="false">_xlfn.CONCAT("X",B236)</f>
        <v>X235</v>
      </c>
      <c r="H236" s="6" t="n">
        <f aca="false">C236-C235</f>
        <v>-2.70000000001164</v>
      </c>
      <c r="I236" s="6" t="n">
        <f aca="false">D236-D235</f>
        <v>-2.72000000067055</v>
      </c>
      <c r="J236" s="6" t="n">
        <f aca="false">E236-E235</f>
        <v>4.80000000000018</v>
      </c>
    </row>
    <row r="237" customFormat="false" ht="12.8" hidden="false" customHeight="false" outlineLevel="0" collapsed="false">
      <c r="A237" s="6" t="s">
        <v>5</v>
      </c>
      <c r="B237" s="1" t="n">
        <v>236</v>
      </c>
      <c r="C237" s="2" t="n">
        <v>352531.82</v>
      </c>
      <c r="D237" s="2" t="n">
        <v>5261365.16</v>
      </c>
      <c r="E237" s="2" t="n">
        <v>2166.6</v>
      </c>
      <c r="F237" s="6" t="n">
        <f aca="false">B236</f>
        <v>235</v>
      </c>
      <c r="G237" s="7" t="str">
        <f aca="false">_xlfn.CONCAT("X",B237)</f>
        <v>X236</v>
      </c>
      <c r="H237" s="6" t="n">
        <f aca="false">C237-C236</f>
        <v>-1.67999999999302</v>
      </c>
      <c r="I237" s="6" t="n">
        <f aca="false">D237-D236</f>
        <v>-1.34999999962747</v>
      </c>
      <c r="J237" s="6" t="n">
        <f aca="false">E237-E236</f>
        <v>2.59999999999991</v>
      </c>
    </row>
    <row r="238" customFormat="false" ht="12.8" hidden="false" customHeight="false" outlineLevel="0" collapsed="false">
      <c r="A238" s="6" t="s">
        <v>5</v>
      </c>
      <c r="B238" s="1" t="n">
        <v>237</v>
      </c>
      <c r="C238" s="2" t="n">
        <v>352528.69</v>
      </c>
      <c r="D238" s="2" t="n">
        <v>5261364.1</v>
      </c>
      <c r="E238" s="2" t="n">
        <v>2168.5</v>
      </c>
      <c r="F238" s="6" t="n">
        <f aca="false">B237</f>
        <v>236</v>
      </c>
      <c r="G238" s="7" t="str">
        <f aca="false">_xlfn.CONCAT("X",B238)</f>
        <v>X237</v>
      </c>
      <c r="H238" s="6" t="n">
        <f aca="false">C238-C237</f>
        <v>-3.13000000000466</v>
      </c>
      <c r="I238" s="6" t="n">
        <f aca="false">D238-D237</f>
        <v>-1.06000000052154</v>
      </c>
      <c r="J238" s="6" t="n">
        <f aca="false">E238-E237</f>
        <v>1.90000000000009</v>
      </c>
    </row>
    <row r="239" customFormat="false" ht="12.8" hidden="false" customHeight="false" outlineLevel="0" collapsed="false">
      <c r="A239" s="6" t="s">
        <v>5</v>
      </c>
      <c r="B239" s="1" t="n">
        <v>238</v>
      </c>
      <c r="C239" s="2" t="n">
        <v>352522.37</v>
      </c>
      <c r="D239" s="2" t="n">
        <v>5261362.25</v>
      </c>
      <c r="E239" s="2" t="n">
        <v>2171.5</v>
      </c>
      <c r="F239" s="6" t="n">
        <f aca="false">B238</f>
        <v>237</v>
      </c>
      <c r="G239" s="7" t="str">
        <f aca="false">_xlfn.CONCAT("X",B239)</f>
        <v>X238</v>
      </c>
      <c r="H239" s="6" t="n">
        <f aca="false">C239-C238</f>
        <v>-6.32000000000699</v>
      </c>
      <c r="I239" s="6" t="n">
        <f aca="false">D239-D238</f>
        <v>-1.84999999962747</v>
      </c>
      <c r="J239" s="6" t="n">
        <f aca="false">E239-E238</f>
        <v>3</v>
      </c>
    </row>
    <row r="240" customFormat="false" ht="12.8" hidden="false" customHeight="false" outlineLevel="0" collapsed="false">
      <c r="A240" s="6" t="s">
        <v>5</v>
      </c>
      <c r="B240" s="1" t="n">
        <v>239</v>
      </c>
      <c r="C240" s="2" t="n">
        <v>352521.22</v>
      </c>
      <c r="D240" s="2" t="n">
        <v>5261361.35</v>
      </c>
      <c r="E240" s="2" t="n">
        <v>2172</v>
      </c>
      <c r="F240" s="6" t="n">
        <f aca="false">B239</f>
        <v>238</v>
      </c>
      <c r="G240" s="7" t="str">
        <f aca="false">_xlfn.CONCAT("X",B240)</f>
        <v>X239</v>
      </c>
      <c r="H240" s="6" t="n">
        <f aca="false">C240-C239</f>
        <v>-1.15000000002328</v>
      </c>
      <c r="I240" s="6" t="n">
        <f aca="false">D240-D239</f>
        <v>-0.900000000372529</v>
      </c>
      <c r="J240" s="6" t="n">
        <f aca="false">E240-E239</f>
        <v>0.5</v>
      </c>
    </row>
    <row r="241" customFormat="false" ht="12.8" hidden="false" customHeight="false" outlineLevel="0" collapsed="false">
      <c r="A241" s="6" t="s">
        <v>5</v>
      </c>
      <c r="B241" s="1" t="n">
        <v>240</v>
      </c>
      <c r="C241" s="2" t="n">
        <v>352518.4</v>
      </c>
      <c r="D241" s="2" t="n">
        <v>5261356.05</v>
      </c>
      <c r="E241" s="2" t="n">
        <v>2175</v>
      </c>
      <c r="F241" s="6" t="n">
        <f aca="false">B240</f>
        <v>239</v>
      </c>
      <c r="G241" s="7" t="str">
        <f aca="false">_xlfn.CONCAT("X",B241)</f>
        <v>X240</v>
      </c>
      <c r="H241" s="6" t="n">
        <f aca="false">C241-C240</f>
        <v>-2.81999999994878</v>
      </c>
      <c r="I241" s="6" t="n">
        <f aca="false">D241-D240</f>
        <v>-5.29999999981374</v>
      </c>
      <c r="J241" s="6" t="n">
        <f aca="false">E241-E240</f>
        <v>3</v>
      </c>
    </row>
    <row r="242" customFormat="false" ht="12.8" hidden="false" customHeight="false" outlineLevel="0" collapsed="false">
      <c r="A242" s="6" t="s">
        <v>5</v>
      </c>
      <c r="B242" s="1" t="n">
        <v>241</v>
      </c>
      <c r="C242" s="2" t="n">
        <v>352516.9</v>
      </c>
      <c r="D242" s="2" t="n">
        <v>5261354.23</v>
      </c>
      <c r="E242" s="2" t="n">
        <v>2175.1</v>
      </c>
      <c r="F242" s="6" t="n">
        <f aca="false">B241</f>
        <v>240</v>
      </c>
      <c r="G242" s="7" t="str">
        <f aca="false">_xlfn.CONCAT("X",B242)</f>
        <v>X241</v>
      </c>
      <c r="H242" s="6" t="n">
        <f aca="false">C242-C241</f>
        <v>-1.5</v>
      </c>
      <c r="I242" s="6" t="n">
        <f aca="false">D242-D241</f>
        <v>-1.8199999993667</v>
      </c>
      <c r="J242" s="6" t="n">
        <f aca="false">E242-E241</f>
        <v>0.0999999999999091</v>
      </c>
    </row>
    <row r="243" customFormat="false" ht="12.8" hidden="false" customHeight="false" outlineLevel="0" collapsed="false">
      <c r="A243" s="6" t="s">
        <v>5</v>
      </c>
      <c r="B243" s="1" t="n">
        <v>242</v>
      </c>
      <c r="C243" s="2" t="n">
        <v>352514.95</v>
      </c>
      <c r="D243" s="2" t="n">
        <v>5261352.88</v>
      </c>
      <c r="E243" s="2" t="n">
        <v>2178.4</v>
      </c>
      <c r="F243" s="6" t="n">
        <f aca="false">B242</f>
        <v>241</v>
      </c>
      <c r="G243" s="7" t="str">
        <f aca="false">_xlfn.CONCAT("X",B243)</f>
        <v>X242</v>
      </c>
      <c r="H243" s="6" t="n">
        <f aca="false">C243-C242</f>
        <v>-1.95000000001164</v>
      </c>
      <c r="I243" s="6" t="n">
        <f aca="false">D243-D242</f>
        <v>-1.35000000055879</v>
      </c>
      <c r="J243" s="6" t="n">
        <f aca="false">E243-E242</f>
        <v>3.30000000000018</v>
      </c>
    </row>
    <row r="244" customFormat="false" ht="12.8" hidden="false" customHeight="false" outlineLevel="0" collapsed="false">
      <c r="A244" s="6" t="s">
        <v>5</v>
      </c>
      <c r="B244" s="1" t="n">
        <v>243</v>
      </c>
      <c r="C244" s="2" t="n">
        <v>352510.81</v>
      </c>
      <c r="D244" s="2" t="n">
        <v>5261350.99</v>
      </c>
      <c r="E244" s="2" t="n">
        <v>2180.5</v>
      </c>
      <c r="F244" s="6" t="n">
        <f aca="false">B243</f>
        <v>242</v>
      </c>
      <c r="G244" s="7" t="str">
        <f aca="false">_xlfn.CONCAT("X",B244)</f>
        <v>X243</v>
      </c>
      <c r="H244" s="6" t="n">
        <f aca="false">C244-C243</f>
        <v>-4.14000000001397</v>
      </c>
      <c r="I244" s="6" t="n">
        <f aca="false">D244-D243</f>
        <v>-1.88999999966472</v>
      </c>
      <c r="J244" s="6" t="n">
        <f aca="false">E244-E243</f>
        <v>2.09999999999991</v>
      </c>
    </row>
    <row r="245" customFormat="false" ht="12.8" hidden="false" customHeight="false" outlineLevel="0" collapsed="false">
      <c r="A245" s="6" t="s">
        <v>5</v>
      </c>
      <c r="B245" s="1" t="n">
        <v>244</v>
      </c>
      <c r="C245" s="2" t="n">
        <v>352508.4</v>
      </c>
      <c r="D245" s="2" t="n">
        <v>5261349.45</v>
      </c>
      <c r="E245" s="2" t="n">
        <v>2181.6</v>
      </c>
      <c r="F245" s="6" t="n">
        <f aca="false">B244</f>
        <v>243</v>
      </c>
      <c r="G245" s="7" t="str">
        <f aca="false">_xlfn.CONCAT("X",B245)</f>
        <v>X244</v>
      </c>
      <c r="H245" s="6" t="n">
        <f aca="false">C245-C244</f>
        <v>-2.40999999997439</v>
      </c>
      <c r="I245" s="6" t="n">
        <f aca="false">D245-D244</f>
        <v>-1.54000000003725</v>
      </c>
      <c r="J245" s="6" t="n">
        <f aca="false">E245-E244</f>
        <v>1.09999999999991</v>
      </c>
    </row>
    <row r="246" customFormat="false" ht="12.8" hidden="false" customHeight="false" outlineLevel="0" collapsed="false">
      <c r="A246" s="6" t="s">
        <v>5</v>
      </c>
      <c r="B246" s="1" t="n">
        <v>245</v>
      </c>
      <c r="C246" s="2" t="n">
        <v>352507.24</v>
      </c>
      <c r="D246" s="2" t="n">
        <v>5261347.89</v>
      </c>
      <c r="E246" s="2" t="n">
        <v>2181.9</v>
      </c>
      <c r="F246" s="6" t="n">
        <f aca="false">B245</f>
        <v>244</v>
      </c>
      <c r="G246" s="7" t="str">
        <f aca="false">_xlfn.CONCAT("X",B246)</f>
        <v>X245</v>
      </c>
      <c r="H246" s="6" t="n">
        <f aca="false">C246-C245</f>
        <v>-1.1600000000326</v>
      </c>
      <c r="I246" s="6" t="n">
        <f aca="false">D246-D245</f>
        <v>-1.56000000052154</v>
      </c>
      <c r="J246" s="6" t="n">
        <f aca="false">E246-E245</f>
        <v>0.300000000000182</v>
      </c>
    </row>
    <row r="247" customFormat="false" ht="12.8" hidden="false" customHeight="false" outlineLevel="0" collapsed="false">
      <c r="A247" s="6" t="s">
        <v>5</v>
      </c>
      <c r="B247" s="1" t="n">
        <v>246</v>
      </c>
      <c r="C247" s="2" t="n">
        <v>352505.94</v>
      </c>
      <c r="D247" s="2" t="n">
        <v>5261346</v>
      </c>
      <c r="E247" s="2" t="n">
        <v>2182.7</v>
      </c>
      <c r="F247" s="6" t="n">
        <f aca="false">B246</f>
        <v>245</v>
      </c>
      <c r="G247" s="7" t="str">
        <f aca="false">_xlfn.CONCAT("X",B247)</f>
        <v>X246</v>
      </c>
      <c r="H247" s="6" t="n">
        <f aca="false">C247-C246</f>
        <v>-1.29999999998836</v>
      </c>
      <c r="I247" s="6" t="n">
        <f aca="false">D247-D246</f>
        <v>-1.88999999966472</v>
      </c>
      <c r="J247" s="6" t="n">
        <f aca="false">E247-E246</f>
        <v>0.799999999999727</v>
      </c>
    </row>
    <row r="248" customFormat="false" ht="12.8" hidden="false" customHeight="false" outlineLevel="0" collapsed="false">
      <c r="A248" s="6" t="s">
        <v>5</v>
      </c>
      <c r="B248" s="1" t="n">
        <v>247</v>
      </c>
      <c r="C248" s="2" t="n">
        <v>352503.65</v>
      </c>
      <c r="D248" s="2" t="n">
        <v>5261340.95</v>
      </c>
      <c r="E248" s="2" t="n">
        <v>2182.7</v>
      </c>
      <c r="F248" s="6" t="n">
        <f aca="false">B247</f>
        <v>246</v>
      </c>
      <c r="G248" s="7" t="str">
        <f aca="false">_xlfn.CONCAT("X",B248)</f>
        <v>X247</v>
      </c>
      <c r="H248" s="6" t="n">
        <f aca="false">C248-C247</f>
        <v>-2.28999999997905</v>
      </c>
      <c r="I248" s="6" t="n">
        <f aca="false">D248-D247</f>
        <v>-5.04999999981374</v>
      </c>
      <c r="J248" s="6" t="n">
        <f aca="false">E248-E247</f>
        <v>0</v>
      </c>
    </row>
    <row r="249" customFormat="false" ht="12.8" hidden="false" customHeight="false" outlineLevel="0" collapsed="false">
      <c r="A249" s="6" t="s">
        <v>5</v>
      </c>
      <c r="B249" s="1" t="n">
        <v>248</v>
      </c>
      <c r="C249" s="2" t="n">
        <v>352500.34</v>
      </c>
      <c r="D249" s="2" t="n">
        <v>5261337.85</v>
      </c>
      <c r="E249" s="2" t="n">
        <v>2185</v>
      </c>
      <c r="F249" s="6" t="n">
        <f aca="false">B248</f>
        <v>247</v>
      </c>
      <c r="G249" s="7" t="str">
        <f aca="false">_xlfn.CONCAT("X",B249)</f>
        <v>X248</v>
      </c>
      <c r="H249" s="6" t="n">
        <f aca="false">C249-C248</f>
        <v>-3.30999999999767</v>
      </c>
      <c r="I249" s="6" t="n">
        <f aca="false">D249-D248</f>
        <v>-3.10000000055879</v>
      </c>
      <c r="J249" s="6" t="n">
        <f aca="false">E249-E248</f>
        <v>2.30000000000018</v>
      </c>
    </row>
    <row r="250" customFormat="false" ht="12.8" hidden="false" customHeight="false" outlineLevel="0" collapsed="false">
      <c r="A250" s="6" t="s">
        <v>5</v>
      </c>
      <c r="B250" s="1" t="n">
        <v>249</v>
      </c>
      <c r="C250" s="2" t="n">
        <v>352496.8</v>
      </c>
      <c r="D250" s="2" t="n">
        <v>5261336.34</v>
      </c>
      <c r="E250" s="2" t="n">
        <v>2187</v>
      </c>
      <c r="F250" s="6" t="n">
        <f aca="false">B249</f>
        <v>248</v>
      </c>
      <c r="G250" s="7" t="str">
        <f aca="false">_xlfn.CONCAT("X",B250)</f>
        <v>X249</v>
      </c>
      <c r="H250" s="6" t="n">
        <f aca="false">C250-C249</f>
        <v>-3.54000000003725</v>
      </c>
      <c r="I250" s="6" t="n">
        <f aca="false">D250-D249</f>
        <v>-1.50999999977648</v>
      </c>
      <c r="J250" s="6" t="n">
        <f aca="false">E250-E249</f>
        <v>2</v>
      </c>
    </row>
    <row r="251" customFormat="false" ht="12.8" hidden="false" customHeight="false" outlineLevel="0" collapsed="false">
      <c r="A251" s="6" t="s">
        <v>5</v>
      </c>
      <c r="B251" s="1" t="n">
        <v>250</v>
      </c>
      <c r="C251" s="2" t="n">
        <v>352491.23</v>
      </c>
      <c r="D251" s="2" t="n">
        <v>5261335.33</v>
      </c>
      <c r="E251" s="2" t="n">
        <v>2189.8</v>
      </c>
      <c r="F251" s="6" t="n">
        <f aca="false">B250</f>
        <v>249</v>
      </c>
      <c r="G251" s="7" t="str">
        <f aca="false">_xlfn.CONCAT("X",B251)</f>
        <v>X250</v>
      </c>
      <c r="H251" s="6" t="n">
        <f aca="false">C251-C250</f>
        <v>-5.57000000000699</v>
      </c>
      <c r="I251" s="6" t="n">
        <f aca="false">D251-D250</f>
        <v>-1.00999999977648</v>
      </c>
      <c r="J251" s="6" t="n">
        <f aca="false">E251-E250</f>
        <v>2.80000000000018</v>
      </c>
    </row>
    <row r="252" customFormat="false" ht="12.8" hidden="false" customHeight="false" outlineLevel="0" collapsed="false">
      <c r="A252" s="6" t="s">
        <v>5</v>
      </c>
      <c r="B252" s="1" t="n">
        <v>251</v>
      </c>
      <c r="C252" s="2" t="n">
        <v>352487.39</v>
      </c>
      <c r="D252" s="2" t="n">
        <v>5261335.28</v>
      </c>
      <c r="E252" s="2" t="n">
        <v>2191.4</v>
      </c>
      <c r="F252" s="6" t="n">
        <f aca="false">B251</f>
        <v>250</v>
      </c>
      <c r="G252" s="7" t="str">
        <f aca="false">_xlfn.CONCAT("X",B252)</f>
        <v>X251</v>
      </c>
      <c r="H252" s="6" t="n">
        <f aca="false">C252-C251</f>
        <v>-3.8399999999674</v>
      </c>
      <c r="I252" s="6" t="n">
        <f aca="false">D252-D251</f>
        <v>-0.0499999998137355</v>
      </c>
      <c r="J252" s="6" t="n">
        <f aca="false">E252-E251</f>
        <v>1.59999999999991</v>
      </c>
    </row>
    <row r="253" customFormat="false" ht="12.8" hidden="false" customHeight="false" outlineLevel="0" collapsed="false">
      <c r="A253" s="6" t="s">
        <v>5</v>
      </c>
      <c r="B253" s="1" t="n">
        <v>252</v>
      </c>
      <c r="C253" s="2" t="n">
        <v>352480.84</v>
      </c>
      <c r="D253" s="2" t="n">
        <v>5261335.29</v>
      </c>
      <c r="E253" s="2" t="n">
        <v>2192.9</v>
      </c>
      <c r="F253" s="6" t="n">
        <f aca="false">B252</f>
        <v>251</v>
      </c>
      <c r="G253" s="7" t="str">
        <f aca="false">_xlfn.CONCAT("X",B253)</f>
        <v>X252</v>
      </c>
      <c r="H253" s="6" t="n">
        <f aca="false">C253-C252</f>
        <v>-6.54999999998836</v>
      </c>
      <c r="I253" s="6" t="n">
        <f aca="false">D253-D252</f>
        <v>0.00999999977648258</v>
      </c>
      <c r="J253" s="6" t="n">
        <f aca="false">E253-E252</f>
        <v>1.5</v>
      </c>
    </row>
    <row r="254" customFormat="false" ht="12.8" hidden="false" customHeight="false" outlineLevel="0" collapsed="false">
      <c r="A254" s="6" t="s">
        <v>5</v>
      </c>
      <c r="B254" s="1" t="n">
        <v>253</v>
      </c>
      <c r="C254" s="2" t="n">
        <v>352474.27</v>
      </c>
      <c r="D254" s="2" t="n">
        <v>5261333.98</v>
      </c>
      <c r="E254" s="2" t="n">
        <v>2196.2</v>
      </c>
      <c r="F254" s="6" t="n">
        <f aca="false">B253</f>
        <v>252</v>
      </c>
      <c r="G254" s="7" t="str">
        <f aca="false">_xlfn.CONCAT("X",B254)</f>
        <v>X253</v>
      </c>
      <c r="H254" s="6" t="n">
        <f aca="false">C254-C253</f>
        <v>-6.57000000000699</v>
      </c>
      <c r="I254" s="6" t="n">
        <f aca="false">D254-D253</f>
        <v>-1.30999999959022</v>
      </c>
      <c r="J254" s="6" t="n">
        <f aca="false">E254-E253</f>
        <v>3.29999999999973</v>
      </c>
    </row>
    <row r="255" customFormat="false" ht="12.8" hidden="false" customHeight="false" outlineLevel="0" collapsed="false">
      <c r="A255" s="6" t="s">
        <v>5</v>
      </c>
      <c r="B255" s="1" t="n">
        <v>254</v>
      </c>
      <c r="C255" s="2" t="n">
        <v>352471.43</v>
      </c>
      <c r="D255" s="2" t="n">
        <v>5261334.04</v>
      </c>
      <c r="E255" s="2" t="n">
        <v>2197.6</v>
      </c>
      <c r="F255" s="6" t="n">
        <f aca="false">B254</f>
        <v>253</v>
      </c>
      <c r="G255" s="7" t="str">
        <f aca="false">_xlfn.CONCAT("X",B255)</f>
        <v>X254</v>
      </c>
      <c r="H255" s="6" t="n">
        <f aca="false">C255-C254</f>
        <v>-2.84000000002561</v>
      </c>
      <c r="I255" s="6" t="n">
        <f aca="false">D255-D254</f>
        <v>0.0599999995902181</v>
      </c>
      <c r="J255" s="6" t="n">
        <f aca="false">E255-E254</f>
        <v>1.40000000000009</v>
      </c>
    </row>
    <row r="256" customFormat="false" ht="12.8" hidden="false" customHeight="false" outlineLevel="0" collapsed="false">
      <c r="A256" s="6" t="s">
        <v>5</v>
      </c>
      <c r="B256" s="1" t="n">
        <v>255</v>
      </c>
      <c r="C256" s="2" t="n">
        <v>352467.61</v>
      </c>
      <c r="D256" s="2" t="n">
        <v>5261334.85</v>
      </c>
      <c r="E256" s="2" t="n">
        <v>2198.7</v>
      </c>
      <c r="F256" s="6" t="n">
        <f aca="false">B255</f>
        <v>254</v>
      </c>
      <c r="G256" s="7" t="str">
        <f aca="false">_xlfn.CONCAT("X",B256)</f>
        <v>X255</v>
      </c>
      <c r="H256" s="6" t="n">
        <f aca="false">C256-C255</f>
        <v>-3.82000000000699</v>
      </c>
      <c r="I256" s="6" t="n">
        <f aca="false">D256-D255</f>
        <v>0.809999999590218</v>
      </c>
      <c r="J256" s="6" t="n">
        <f aca="false">E256-E255</f>
        <v>1.09999999999991</v>
      </c>
    </row>
    <row r="257" customFormat="false" ht="12.8" hidden="false" customHeight="false" outlineLevel="0" collapsed="false">
      <c r="A257" s="6" t="s">
        <v>5</v>
      </c>
      <c r="B257" s="1" t="n">
        <v>256</v>
      </c>
      <c r="C257" s="2" t="n">
        <v>352445.93</v>
      </c>
      <c r="D257" s="2" t="n">
        <v>5261342.06</v>
      </c>
      <c r="E257" s="2" t="n">
        <v>2200</v>
      </c>
      <c r="F257" s="6" t="n">
        <f aca="false">B256</f>
        <v>255</v>
      </c>
      <c r="G257" s="7" t="str">
        <f aca="false">_xlfn.CONCAT("X",B257)</f>
        <v>X256</v>
      </c>
      <c r="H257" s="6" t="n">
        <f aca="false">C257-C256</f>
        <v>-21.679999999993</v>
      </c>
      <c r="I257" s="6" t="n">
        <f aca="false">D257-D256</f>
        <v>7.20999999996275</v>
      </c>
      <c r="J257" s="6" t="n">
        <f aca="false">E257-E256</f>
        <v>1.30000000000018</v>
      </c>
    </row>
    <row r="258" customFormat="false" ht="12.8" hidden="false" customHeight="false" outlineLevel="0" collapsed="false">
      <c r="A258" s="6" t="s">
        <v>5</v>
      </c>
      <c r="B258" s="1" t="n">
        <v>257</v>
      </c>
      <c r="C258" s="2" t="n">
        <v>352435.27</v>
      </c>
      <c r="D258" s="2" t="n">
        <v>5261347.98</v>
      </c>
      <c r="E258" s="2" t="n">
        <v>2201.6</v>
      </c>
      <c r="F258" s="6" t="n">
        <f aca="false">B257</f>
        <v>256</v>
      </c>
      <c r="G258" s="7" t="str">
        <f aca="false">_xlfn.CONCAT("X",B258)</f>
        <v>X257</v>
      </c>
      <c r="H258" s="6" t="n">
        <f aca="false">C258-C257</f>
        <v>-10.6599999999744</v>
      </c>
      <c r="I258" s="6" t="n">
        <f aca="false">D258-D257</f>
        <v>5.92000000085682</v>
      </c>
      <c r="J258" s="6" t="n">
        <f aca="false">E258-E257</f>
        <v>1.59999999999991</v>
      </c>
    </row>
    <row r="259" customFormat="false" ht="12.8" hidden="false" customHeight="false" outlineLevel="0" collapsed="false">
      <c r="A259" s="6" t="s">
        <v>5</v>
      </c>
      <c r="B259" s="1" t="n">
        <v>258</v>
      </c>
      <c r="C259" s="2" t="n">
        <v>352432.97</v>
      </c>
      <c r="D259" s="2" t="n">
        <v>5261348.95</v>
      </c>
      <c r="E259" s="2" t="n">
        <v>2202.5</v>
      </c>
      <c r="F259" s="6" t="n">
        <f aca="false">B258</f>
        <v>257</v>
      </c>
      <c r="G259" s="7" t="str">
        <f aca="false">_xlfn.CONCAT("X",B259)</f>
        <v>X258</v>
      </c>
      <c r="H259" s="6" t="n">
        <f aca="false">C259-C258</f>
        <v>-2.30000000004657</v>
      </c>
      <c r="I259" s="6" t="n">
        <f aca="false">D259-D258</f>
        <v>0.96999999973923</v>
      </c>
      <c r="J259" s="6" t="n">
        <f aca="false">E259-E258</f>
        <v>0.900000000000091</v>
      </c>
    </row>
    <row r="260" customFormat="false" ht="12.8" hidden="false" customHeight="false" outlineLevel="0" collapsed="false">
      <c r="A260" s="6" t="s">
        <v>5</v>
      </c>
      <c r="B260" s="1" t="n">
        <v>259</v>
      </c>
      <c r="C260" s="2" t="n">
        <v>352431.19</v>
      </c>
      <c r="D260" s="2" t="n">
        <v>5261348.99</v>
      </c>
      <c r="E260" s="2" t="n">
        <v>2203.4</v>
      </c>
      <c r="F260" s="6" t="n">
        <f aca="false">B259</f>
        <v>258</v>
      </c>
      <c r="G260" s="7" t="str">
        <f aca="false">_xlfn.CONCAT("X",B260)</f>
        <v>X259</v>
      </c>
      <c r="H260" s="6" t="n">
        <f aca="false">C260-C259</f>
        <v>-1.77999999996973</v>
      </c>
      <c r="I260" s="6" t="n">
        <f aca="false">D260-D259</f>
        <v>0.0400000000372529</v>
      </c>
      <c r="J260" s="6" t="n">
        <f aca="false">E260-E259</f>
        <v>0.900000000000091</v>
      </c>
    </row>
    <row r="261" customFormat="false" ht="12.8" hidden="false" customHeight="false" outlineLevel="0" collapsed="false">
      <c r="A261" s="6" t="s">
        <v>5</v>
      </c>
      <c r="B261" s="1" t="n">
        <v>260</v>
      </c>
      <c r="C261" s="2" t="n">
        <v>352428.98</v>
      </c>
      <c r="D261" s="2" t="n">
        <v>5261347.91</v>
      </c>
      <c r="E261" s="2" t="n">
        <v>2205.5</v>
      </c>
      <c r="F261" s="6" t="n">
        <f aca="false">B260</f>
        <v>259</v>
      </c>
      <c r="G261" s="7" t="str">
        <f aca="false">_xlfn.CONCAT("X",B261)</f>
        <v>X260</v>
      </c>
      <c r="H261" s="6" t="n">
        <f aca="false">C261-C260</f>
        <v>-2.21000000002095</v>
      </c>
      <c r="I261" s="6" t="n">
        <f aca="false">D261-D260</f>
        <v>-1.08000000007451</v>
      </c>
      <c r="J261" s="6" t="n">
        <f aca="false">E261-E260</f>
        <v>2.09999999999991</v>
      </c>
    </row>
    <row r="262" customFormat="false" ht="12.8" hidden="false" customHeight="false" outlineLevel="0" collapsed="false">
      <c r="A262" s="6" t="s">
        <v>5</v>
      </c>
      <c r="B262" s="1" t="n">
        <v>261</v>
      </c>
      <c r="C262" s="2" t="n">
        <v>352423.69</v>
      </c>
      <c r="D262" s="2" t="n">
        <v>5261341.61</v>
      </c>
      <c r="E262" s="2" t="n">
        <v>2207.4</v>
      </c>
      <c r="F262" s="6" t="n">
        <f aca="false">B261</f>
        <v>260</v>
      </c>
      <c r="G262" s="7" t="str">
        <f aca="false">_xlfn.CONCAT("X",B262)</f>
        <v>X261</v>
      </c>
      <c r="H262" s="6" t="n">
        <f aca="false">C262-C261</f>
        <v>-5.28999999997905</v>
      </c>
      <c r="I262" s="6" t="n">
        <f aca="false">D262-D261</f>
        <v>-6.29999999981374</v>
      </c>
      <c r="J262" s="6" t="n">
        <f aca="false">E262-E261</f>
        <v>1.90000000000009</v>
      </c>
    </row>
    <row r="263" customFormat="false" ht="12.8" hidden="false" customHeight="false" outlineLevel="0" collapsed="false">
      <c r="A263" s="6" t="s">
        <v>5</v>
      </c>
      <c r="B263" s="1" t="n">
        <v>262</v>
      </c>
      <c r="C263" s="2" t="n">
        <v>352421.88</v>
      </c>
      <c r="D263" s="2" t="n">
        <v>5261340.59</v>
      </c>
      <c r="E263" s="2" t="n">
        <v>2208.4</v>
      </c>
      <c r="F263" s="6" t="n">
        <f aca="false">B262</f>
        <v>261</v>
      </c>
      <c r="G263" s="7" t="str">
        <f aca="false">_xlfn.CONCAT("X",B263)</f>
        <v>X262</v>
      </c>
      <c r="H263" s="6" t="n">
        <f aca="false">C263-C262</f>
        <v>-1.80999999999767</v>
      </c>
      <c r="I263" s="6" t="n">
        <f aca="false">D263-D262</f>
        <v>-1.02000000048429</v>
      </c>
      <c r="J263" s="6" t="n">
        <f aca="false">E263-E262</f>
        <v>1</v>
      </c>
    </row>
    <row r="264" customFormat="false" ht="12.8" hidden="false" customHeight="false" outlineLevel="0" collapsed="false">
      <c r="A264" s="6" t="s">
        <v>5</v>
      </c>
      <c r="B264" s="1" t="n">
        <v>263</v>
      </c>
      <c r="C264" s="2" t="n">
        <v>352416.92</v>
      </c>
      <c r="D264" s="2" t="n">
        <v>5261340.56</v>
      </c>
      <c r="E264" s="2" t="n">
        <v>2209.2</v>
      </c>
      <c r="F264" s="6" t="n">
        <f aca="false">B263</f>
        <v>262</v>
      </c>
      <c r="G264" s="7" t="str">
        <f aca="false">_xlfn.CONCAT("X",B264)</f>
        <v>X263</v>
      </c>
      <c r="H264" s="6" t="n">
        <f aca="false">C264-C263</f>
        <v>-4.96000000002096</v>
      </c>
      <c r="I264" s="6" t="n">
        <f aca="false">D264-D263</f>
        <v>-0.0300000002607703</v>
      </c>
      <c r="J264" s="6" t="n">
        <f aca="false">E264-E263</f>
        <v>0.799999999999727</v>
      </c>
    </row>
    <row r="265" customFormat="false" ht="12.8" hidden="false" customHeight="false" outlineLevel="0" collapsed="false">
      <c r="A265" s="6" t="s">
        <v>5</v>
      </c>
      <c r="B265" s="1" t="n">
        <v>264</v>
      </c>
      <c r="C265" s="2" t="n">
        <v>352406.48</v>
      </c>
      <c r="D265" s="2" t="n">
        <v>5261340.72</v>
      </c>
      <c r="E265" s="2" t="n">
        <v>2211.5</v>
      </c>
      <c r="F265" s="6" t="n">
        <f aca="false">B264</f>
        <v>263</v>
      </c>
      <c r="G265" s="7" t="str">
        <f aca="false">_xlfn.CONCAT("X",B265)</f>
        <v>X264</v>
      </c>
      <c r="H265" s="6" t="n">
        <f aca="false">C265-C264</f>
        <v>-10.4400000000023</v>
      </c>
      <c r="I265" s="6" t="n">
        <f aca="false">D265-D264</f>
        <v>0.160000000149012</v>
      </c>
      <c r="J265" s="6" t="n">
        <f aca="false">E265-E264</f>
        <v>2.30000000000018</v>
      </c>
    </row>
    <row r="266" customFormat="false" ht="12.8" hidden="false" customHeight="false" outlineLevel="0" collapsed="false">
      <c r="A266" s="6" t="s">
        <v>5</v>
      </c>
      <c r="B266" s="1" t="n">
        <v>265</v>
      </c>
      <c r="C266" s="2" t="n">
        <v>352402.42</v>
      </c>
      <c r="D266" s="2" t="n">
        <v>5261340.02</v>
      </c>
      <c r="E266" s="2" t="n">
        <v>2213.9</v>
      </c>
      <c r="F266" s="6" t="n">
        <f aca="false">B265</f>
        <v>264</v>
      </c>
      <c r="G266" s="7" t="str">
        <f aca="false">_xlfn.CONCAT("X",B266)</f>
        <v>X265</v>
      </c>
      <c r="H266" s="6" t="n">
        <f aca="false">C266-C265</f>
        <v>-4.05999999999767</v>
      </c>
      <c r="I266" s="6" t="n">
        <f aca="false">D266-D265</f>
        <v>-0.700000000186265</v>
      </c>
      <c r="J266" s="6" t="n">
        <f aca="false">E266-E265</f>
        <v>2.40000000000009</v>
      </c>
    </row>
    <row r="267" customFormat="false" ht="12.8" hidden="false" customHeight="false" outlineLevel="0" collapsed="false">
      <c r="A267" s="6" t="s">
        <v>5</v>
      </c>
      <c r="B267" s="1" t="n">
        <v>266</v>
      </c>
      <c r="C267" s="2" t="n">
        <v>352396.74</v>
      </c>
      <c r="D267" s="2" t="n">
        <v>5261338.37</v>
      </c>
      <c r="E267" s="2" t="n">
        <v>2219.1</v>
      </c>
      <c r="F267" s="6" t="n">
        <f aca="false">B266</f>
        <v>265</v>
      </c>
      <c r="G267" s="7" t="str">
        <f aca="false">_xlfn.CONCAT("X",B267)</f>
        <v>X266</v>
      </c>
      <c r="H267" s="6" t="n">
        <f aca="false">C267-C266</f>
        <v>-5.67999999999302</v>
      </c>
      <c r="I267" s="6" t="n">
        <f aca="false">D267-D266</f>
        <v>-1.64999999944121</v>
      </c>
      <c r="J267" s="6" t="n">
        <f aca="false">E267-E266</f>
        <v>5.19999999999982</v>
      </c>
    </row>
    <row r="268" customFormat="false" ht="12.8" hidden="false" customHeight="false" outlineLevel="0" collapsed="false">
      <c r="A268" s="6" t="s">
        <v>5</v>
      </c>
      <c r="B268" s="1" t="n">
        <v>267</v>
      </c>
      <c r="C268" s="2" t="n">
        <v>352391.02</v>
      </c>
      <c r="D268" s="2" t="n">
        <v>5261338.91</v>
      </c>
      <c r="E268" s="2" t="n">
        <v>2221.5</v>
      </c>
      <c r="F268" s="6" t="n">
        <f aca="false">B267</f>
        <v>266</v>
      </c>
      <c r="G268" s="7" t="str">
        <f aca="false">_xlfn.CONCAT("X",B268)</f>
        <v>X267</v>
      </c>
      <c r="H268" s="6" t="n">
        <f aca="false">C268-C267</f>
        <v>-5.71999999997206</v>
      </c>
      <c r="I268" s="6" t="n">
        <f aca="false">D268-D267</f>
        <v>0.540000000037253</v>
      </c>
      <c r="J268" s="6" t="n">
        <f aca="false">E268-E267</f>
        <v>2.40000000000009</v>
      </c>
    </row>
    <row r="269" customFormat="false" ht="12.8" hidden="false" customHeight="false" outlineLevel="0" collapsed="false">
      <c r="A269" s="6" t="s">
        <v>5</v>
      </c>
      <c r="B269" s="1" t="n">
        <v>268</v>
      </c>
      <c r="C269" s="2" t="n">
        <v>352382.41</v>
      </c>
      <c r="D269" s="2" t="n">
        <v>5261341.7</v>
      </c>
      <c r="E269" s="2" t="n">
        <v>2223.4</v>
      </c>
      <c r="F269" s="6" t="n">
        <f aca="false">B268</f>
        <v>267</v>
      </c>
      <c r="G269" s="7" t="str">
        <f aca="false">_xlfn.CONCAT("X",B269)</f>
        <v>X268</v>
      </c>
      <c r="H269" s="6" t="n">
        <f aca="false">C269-C268</f>
        <v>-8.61000000004424</v>
      </c>
      <c r="I269" s="6" t="n">
        <f aca="false">D269-D268</f>
        <v>2.79000000003725</v>
      </c>
      <c r="J269" s="6" t="n">
        <f aca="false">E269-E268</f>
        <v>1.90000000000009</v>
      </c>
    </row>
    <row r="270" customFormat="false" ht="12.8" hidden="false" customHeight="false" outlineLevel="0" collapsed="false">
      <c r="A270" s="6" t="s">
        <v>5</v>
      </c>
      <c r="B270" s="1" t="n">
        <v>269</v>
      </c>
      <c r="C270" s="2" t="n">
        <v>352378.67</v>
      </c>
      <c r="D270" s="2" t="n">
        <v>5261342.51</v>
      </c>
      <c r="E270" s="2" t="n">
        <v>2223.1</v>
      </c>
      <c r="F270" s="6" t="n">
        <f aca="false">B269</f>
        <v>268</v>
      </c>
      <c r="G270" s="7" t="str">
        <f aca="false">_xlfn.CONCAT("X",B270)</f>
        <v>X269</v>
      </c>
      <c r="H270" s="6" t="n">
        <f aca="false">C270-C269</f>
        <v>-3.73999999999069</v>
      </c>
      <c r="I270" s="6" t="n">
        <f aca="false">D270-D269</f>
        <v>0.809999999590218</v>
      </c>
      <c r="J270" s="6" t="n">
        <f aca="false">E270-E269</f>
        <v>-0.300000000000182</v>
      </c>
    </row>
    <row r="271" customFormat="false" ht="12.8" hidden="false" customHeight="false" outlineLevel="0" collapsed="false">
      <c r="A271" s="6" t="s">
        <v>5</v>
      </c>
      <c r="B271" s="1" t="n">
        <v>270</v>
      </c>
      <c r="C271" s="2" t="n">
        <v>352371.2</v>
      </c>
      <c r="D271" s="2" t="n">
        <v>5261344.24</v>
      </c>
      <c r="E271" s="2" t="n">
        <v>2236.7</v>
      </c>
      <c r="F271" s="6" t="n">
        <f aca="false">B270</f>
        <v>269</v>
      </c>
      <c r="G271" s="7" t="str">
        <f aca="false">_xlfn.CONCAT("X",B271)</f>
        <v>X270</v>
      </c>
      <c r="H271" s="6" t="n">
        <f aca="false">C271-C270</f>
        <v>-7.46999999997206</v>
      </c>
      <c r="I271" s="6" t="n">
        <f aca="false">D271-D270</f>
        <v>1.73000000044703</v>
      </c>
      <c r="J271" s="6" t="n">
        <f aca="false">E271-E270</f>
        <v>13.5999999999999</v>
      </c>
    </row>
    <row r="272" customFormat="false" ht="12.8" hidden="false" customHeight="false" outlineLevel="0" collapsed="false">
      <c r="A272" s="6" t="s">
        <v>5</v>
      </c>
      <c r="B272" s="1" t="n">
        <v>271</v>
      </c>
      <c r="C272" s="2" t="n">
        <v>352367.88</v>
      </c>
      <c r="D272" s="2" t="n">
        <v>5261345.35</v>
      </c>
      <c r="E272" s="2" t="n">
        <v>2239.7</v>
      </c>
      <c r="F272" s="6" t="n">
        <f aca="false">B271</f>
        <v>270</v>
      </c>
      <c r="G272" s="7" t="str">
        <f aca="false">_xlfn.CONCAT("X",B272)</f>
        <v>X271</v>
      </c>
      <c r="H272" s="6" t="n">
        <f aca="false">C272-C271</f>
        <v>-3.32000000000699</v>
      </c>
      <c r="I272" s="6" t="n">
        <f aca="false">D272-D271</f>
        <v>1.10999999940395</v>
      </c>
      <c r="J272" s="6" t="n">
        <f aca="false">E272-E271</f>
        <v>3</v>
      </c>
    </row>
    <row r="273" customFormat="false" ht="12.8" hidden="false" customHeight="false" outlineLevel="0" collapsed="false">
      <c r="A273" s="6" t="s">
        <v>5</v>
      </c>
      <c r="B273" s="1" t="n">
        <v>272</v>
      </c>
      <c r="C273" s="2" t="n">
        <v>352365.95</v>
      </c>
      <c r="D273" s="2" t="n">
        <v>5261344.9</v>
      </c>
      <c r="E273" s="2" t="n">
        <v>2240.8</v>
      </c>
      <c r="F273" s="6" t="n">
        <f aca="false">B272</f>
        <v>271</v>
      </c>
      <c r="G273" s="7" t="str">
        <f aca="false">_xlfn.CONCAT("X",B273)</f>
        <v>X272</v>
      </c>
      <c r="H273" s="6" t="n">
        <f aca="false">C273-C272</f>
        <v>-1.92999999999302</v>
      </c>
      <c r="I273" s="6" t="n">
        <f aca="false">D273-D272</f>
        <v>-0.449999999254942</v>
      </c>
      <c r="J273" s="6" t="n">
        <f aca="false">E273-E272</f>
        <v>1.10000000000036</v>
      </c>
    </row>
    <row r="274" customFormat="false" ht="12.8" hidden="false" customHeight="false" outlineLevel="0" collapsed="false">
      <c r="A274" s="6" t="s">
        <v>5</v>
      </c>
      <c r="B274" s="1" t="n">
        <v>273</v>
      </c>
      <c r="C274" s="2" t="n">
        <v>352363.73</v>
      </c>
      <c r="D274" s="2" t="n">
        <v>5261343.22</v>
      </c>
      <c r="E274" s="2" t="n">
        <v>2239.7</v>
      </c>
      <c r="F274" s="6" t="n">
        <f aca="false">B273</f>
        <v>272</v>
      </c>
      <c r="G274" s="7" t="str">
        <f aca="false">_xlfn.CONCAT("X",B274)</f>
        <v>X273</v>
      </c>
      <c r="H274" s="6" t="n">
        <f aca="false">C274-C273</f>
        <v>-2.22000000003027</v>
      </c>
      <c r="I274" s="6" t="n">
        <f aca="false">D274-D273</f>
        <v>-1.6800000006333</v>
      </c>
      <c r="J274" s="6" t="n">
        <f aca="false">E274-E273</f>
        <v>-1.10000000000036</v>
      </c>
    </row>
    <row r="275" customFormat="false" ht="12.8" hidden="false" customHeight="false" outlineLevel="0" collapsed="false">
      <c r="A275" s="6" t="s">
        <v>5</v>
      </c>
      <c r="B275" s="1" t="n">
        <v>274</v>
      </c>
      <c r="C275" s="2" t="n">
        <v>352361.56</v>
      </c>
      <c r="D275" s="2" t="n">
        <v>5261340.42</v>
      </c>
      <c r="E275" s="2" t="n">
        <v>2235.8</v>
      </c>
      <c r="F275" s="6" t="n">
        <f aca="false">B274</f>
        <v>273</v>
      </c>
      <c r="G275" s="7" t="str">
        <f aca="false">_xlfn.CONCAT("X",B275)</f>
        <v>X274</v>
      </c>
      <c r="H275" s="6" t="n">
        <f aca="false">C275-C274</f>
        <v>-2.1699999999837</v>
      </c>
      <c r="I275" s="6" t="n">
        <f aca="false">D275-D274</f>
        <v>-2.79999999981374</v>
      </c>
      <c r="J275" s="6" t="n">
        <f aca="false">E275-E274</f>
        <v>-3.89999999999964</v>
      </c>
    </row>
    <row r="276" customFormat="false" ht="12.8" hidden="false" customHeight="false" outlineLevel="0" collapsed="false">
      <c r="A276" s="6" t="s">
        <v>5</v>
      </c>
      <c r="B276" s="1" t="n">
        <v>275</v>
      </c>
      <c r="C276" s="2" t="n">
        <v>352358.28</v>
      </c>
      <c r="D276" s="2" t="n">
        <v>5261337.45</v>
      </c>
      <c r="E276" s="2" t="n">
        <v>2242.6</v>
      </c>
      <c r="F276" s="6" t="n">
        <f aca="false">B275</f>
        <v>274</v>
      </c>
      <c r="G276" s="7" t="str">
        <f aca="false">_xlfn.CONCAT("X",B276)</f>
        <v>X275</v>
      </c>
      <c r="H276" s="6" t="n">
        <f aca="false">C276-C275</f>
        <v>-3.27999999996973</v>
      </c>
      <c r="I276" s="6" t="n">
        <f aca="false">D276-D275</f>
        <v>-2.96999999973923</v>
      </c>
      <c r="J276" s="6" t="n">
        <f aca="false">E276-E275</f>
        <v>6.79999999999973</v>
      </c>
    </row>
    <row r="277" customFormat="false" ht="12.8" hidden="false" customHeight="false" outlineLevel="0" collapsed="false">
      <c r="A277" s="6" t="s">
        <v>5</v>
      </c>
      <c r="B277" s="1" t="n">
        <v>276</v>
      </c>
      <c r="C277" s="2" t="n">
        <v>352354.21</v>
      </c>
      <c r="D277" s="2" t="n">
        <v>5261335.19</v>
      </c>
      <c r="E277" s="2" t="n">
        <v>2248.5</v>
      </c>
      <c r="F277" s="6" t="n">
        <f aca="false">B276</f>
        <v>275</v>
      </c>
      <c r="G277" s="7" t="str">
        <f aca="false">_xlfn.CONCAT("X",B277)</f>
        <v>X276</v>
      </c>
      <c r="H277" s="6" t="n">
        <f aca="false">C277-C276</f>
        <v>-4.07000000000699</v>
      </c>
      <c r="I277" s="6" t="n">
        <f aca="false">D277-D276</f>
        <v>-2.25999999977648</v>
      </c>
      <c r="J277" s="6" t="n">
        <f aca="false">E277-E276</f>
        <v>5.90000000000009</v>
      </c>
    </row>
    <row r="278" customFormat="false" ht="12.8" hidden="false" customHeight="false" outlineLevel="0" collapsed="false">
      <c r="A278" s="6" t="s">
        <v>5</v>
      </c>
      <c r="B278" s="1" t="n">
        <v>277</v>
      </c>
      <c r="C278" s="2" t="n">
        <v>352341.41</v>
      </c>
      <c r="D278" s="2" t="n">
        <v>5261335.97</v>
      </c>
      <c r="E278" s="2" t="n">
        <v>2254.1</v>
      </c>
      <c r="F278" s="6" t="n">
        <f aca="false">B277</f>
        <v>276</v>
      </c>
      <c r="G278" s="7" t="str">
        <f aca="false">_xlfn.CONCAT("X",B278)</f>
        <v>X277</v>
      </c>
      <c r="H278" s="6" t="n">
        <f aca="false">C278-C277</f>
        <v>-12.8000000000466</v>
      </c>
      <c r="I278" s="6" t="n">
        <f aca="false">D278-D277</f>
        <v>0.779999999329448</v>
      </c>
      <c r="J278" s="6" t="n">
        <f aca="false">E278-E277</f>
        <v>5.59999999999991</v>
      </c>
    </row>
    <row r="279" customFormat="false" ht="12.8" hidden="false" customHeight="false" outlineLevel="0" collapsed="false">
      <c r="A279" s="6" t="s">
        <v>5</v>
      </c>
      <c r="B279" s="1" t="n">
        <v>278</v>
      </c>
      <c r="C279" s="2" t="n">
        <v>352331.58</v>
      </c>
      <c r="D279" s="2" t="n">
        <v>5261338.36</v>
      </c>
      <c r="E279" s="2" t="n">
        <v>2259.8</v>
      </c>
      <c r="F279" s="6" t="n">
        <f aca="false">B278</f>
        <v>277</v>
      </c>
      <c r="G279" s="7" t="str">
        <f aca="false">_xlfn.CONCAT("X",B279)</f>
        <v>X278</v>
      </c>
      <c r="H279" s="6" t="n">
        <f aca="false">C279-C278</f>
        <v>-9.82999999995809</v>
      </c>
      <c r="I279" s="6" t="n">
        <f aca="false">D279-D278</f>
        <v>2.39000000059605</v>
      </c>
      <c r="J279" s="6" t="n">
        <f aca="false">E279-E278</f>
        <v>5.70000000000027</v>
      </c>
    </row>
    <row r="280" customFormat="false" ht="12.8" hidden="false" customHeight="false" outlineLevel="0" collapsed="false">
      <c r="A280" s="6" t="s">
        <v>5</v>
      </c>
      <c r="B280" s="1" t="n">
        <v>279</v>
      </c>
      <c r="C280" s="2" t="n">
        <v>352328.56</v>
      </c>
      <c r="D280" s="2" t="n">
        <v>5261338.42</v>
      </c>
      <c r="E280" s="2" t="n">
        <v>2262.1</v>
      </c>
      <c r="F280" s="6" t="n">
        <f aca="false">B279</f>
        <v>278</v>
      </c>
      <c r="G280" s="7" t="str">
        <f aca="false">_xlfn.CONCAT("X",B280)</f>
        <v>X279</v>
      </c>
      <c r="H280" s="6" t="n">
        <f aca="false">C280-C279</f>
        <v>-3.02000000001863</v>
      </c>
      <c r="I280" s="6" t="n">
        <f aca="false">D280-D279</f>
        <v>0.0599999995902181</v>
      </c>
      <c r="J280" s="6" t="n">
        <f aca="false">E280-E279</f>
        <v>2.29999999999973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1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W3" activeCellId="0" sqref="W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5" min="5" style="2" width="11.53"/>
    <col collapsed="false" customWidth="true" hidden="false" outlineLevel="0" max="9" min="9" style="6" width="22.98"/>
    <col collapsed="false" customWidth="true" hidden="false" outlineLevel="0" max="10" min="10" style="6" width="16.58"/>
    <col collapsed="false" customWidth="true" hidden="false" outlineLevel="0" max="14" min="14" style="0" width="19.19"/>
    <col collapsed="false" customWidth="true" hidden="false" outlineLevel="0" max="15" min="15" style="6" width="26.45"/>
    <col collapsed="false" customWidth="true" hidden="false" outlineLevel="0" max="16" min="16" style="6" width="22.44"/>
    <col collapsed="false" customWidth="true" hidden="false" outlineLevel="0" max="17" min="17" style="6" width="24.51"/>
    <col collapsed="false" customWidth="true" hidden="false" outlineLevel="0" max="18" min="18" style="8" width="3.58"/>
    <col collapsed="false" customWidth="true" hidden="false" outlineLevel="0" max="19" min="19" style="6" width="20.27"/>
    <col collapsed="false" customWidth="true" hidden="false" outlineLevel="0" max="20" min="20" style="6" width="17.56"/>
    <col collapsed="false" customWidth="true" hidden="false" outlineLevel="0" max="22" min="21" style="6" width="16.91"/>
    <col collapsed="false" customWidth="true" hidden="false" outlineLevel="0" max="23" min="23" style="6" width="12.57"/>
    <col collapsed="false" customWidth="true" hidden="false" outlineLevel="0" max="24" min="24" style="6" width="15.51"/>
  </cols>
  <sheetData>
    <row r="1" s="3" customFormat="true" ht="27.1" hidden="false" customHeight="true" outlineLevel="0" collapsed="false">
      <c r="A1" s="9" t="s">
        <v>6</v>
      </c>
      <c r="B1" s="9"/>
      <c r="C1" s="9"/>
      <c r="D1" s="9"/>
      <c r="E1" s="9"/>
      <c r="R1" s="10"/>
      <c r="S1" s="11" t="s">
        <v>7</v>
      </c>
      <c r="T1" s="11"/>
      <c r="U1" s="11"/>
      <c r="V1" s="11"/>
      <c r="W1" s="11"/>
      <c r="XFD1" s="6"/>
    </row>
    <row r="2" s="3" customFormat="true" ht="12.8" hidden="false" customHeight="false" outlineLevel="0" collapsed="false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H2" s="3" t="s">
        <v>8</v>
      </c>
      <c r="I2" s="3" t="s">
        <v>9</v>
      </c>
      <c r="J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10"/>
      <c r="S2" s="3" t="s">
        <v>17</v>
      </c>
      <c r="T2" s="3" t="s">
        <v>18</v>
      </c>
      <c r="U2" s="3" t="s">
        <v>8</v>
      </c>
      <c r="V2" s="3" t="s">
        <v>9</v>
      </c>
      <c r="W2" s="3" t="s">
        <v>19</v>
      </c>
      <c r="XFD2" s="6"/>
    </row>
    <row r="3" customFormat="false" ht="12.8" hidden="false" customHeight="false" outlineLevel="0" collapsed="false">
      <c r="A3" s="6" t="s">
        <v>5</v>
      </c>
      <c r="B3" s="1" t="n">
        <v>1</v>
      </c>
      <c r="C3" s="6" t="n">
        <v>353097.38</v>
      </c>
      <c r="D3" s="2" t="n">
        <v>5268288.77</v>
      </c>
      <c r="E3" s="2" t="n">
        <v>2103.5</v>
      </c>
    </row>
    <row r="4" customFormat="false" ht="12.8" hidden="false" customHeight="false" outlineLevel="0" collapsed="false">
      <c r="A4" s="6" t="s">
        <v>5</v>
      </c>
      <c r="B4" s="1" t="n">
        <v>2</v>
      </c>
      <c r="C4" s="2" t="n">
        <v>352944.16</v>
      </c>
      <c r="D4" s="2" t="n">
        <v>5268231.99</v>
      </c>
      <c r="E4" s="2" t="n">
        <v>2166</v>
      </c>
      <c r="F4" s="6" t="n">
        <f aca="false">B3</f>
        <v>1</v>
      </c>
      <c r="G4" s="7" t="str">
        <f aca="false">_xlfn.CONCAT("DAV",B4)</f>
        <v>DAV2</v>
      </c>
      <c r="H4" s="6" t="n">
        <f aca="false">SQRT((C4-C3)^2+(D4-D3)^2+(E4-E3)^2)</f>
        <v>174.947382946797</v>
      </c>
      <c r="I4" s="6" t="n">
        <f aca="false">MOD((2*180*(ATAN((C4-C3)/(D4-D3))*180/PI())/360), 360)</f>
        <v>69.6663898245671</v>
      </c>
      <c r="J4" s="2" t="n">
        <f aca="false">ASIN((E4-E3)/H4)*180/PI()</f>
        <v>20.9314214836997</v>
      </c>
      <c r="L4" s="6" t="n">
        <f aca="false">C4-C3</f>
        <v>-153.22000000003</v>
      </c>
      <c r="M4" s="6" t="n">
        <f aca="false">D4-D3</f>
        <v>-56.7799999993295</v>
      </c>
      <c r="N4" s="6" t="n">
        <f aca="false">(C4-C3)/(D4-D3)</f>
        <v>2.69848538220922</v>
      </c>
      <c r="O4" s="12" t="n">
        <f aca="false">ATAN((C4-C3)/(D4-D3))*180/PI()</f>
        <v>69.6663898245671</v>
      </c>
      <c r="P4" s="6" t="n">
        <f aca="false">IF(M4&lt;0,O4+180,IF(AND(M4&gt;0,L4&lt;0),O4+360,O4))</f>
        <v>249.666389824567</v>
      </c>
      <c r="Q4" s="6" t="n">
        <f aca="false">P4-1.437</f>
        <v>248.229389824567</v>
      </c>
      <c r="S4" s="6" t="n">
        <f aca="false">F4</f>
        <v>1</v>
      </c>
      <c r="T4" s="6" t="str">
        <f aca="false">G4</f>
        <v>DAV2</v>
      </c>
      <c r="U4" s="6" t="n">
        <f aca="false">H4</f>
        <v>174.947382946797</v>
      </c>
      <c r="V4" s="6" t="n">
        <f aca="false">Q4</f>
        <v>248.229389824567</v>
      </c>
      <c r="W4" s="2" t="n">
        <f aca="false">J4</f>
        <v>20.9314214836997</v>
      </c>
    </row>
    <row r="5" customFormat="false" ht="12.8" hidden="false" customHeight="false" outlineLevel="0" collapsed="false">
      <c r="A5" s="6" t="s">
        <v>5</v>
      </c>
      <c r="B5" s="1" t="n">
        <v>3</v>
      </c>
      <c r="C5" s="2" t="n">
        <v>352884.75</v>
      </c>
      <c r="D5" s="2" t="n">
        <v>5268173.13</v>
      </c>
      <c r="E5" s="2" t="n">
        <v>2207.1</v>
      </c>
      <c r="F5" s="6" t="n">
        <f aca="false">B4</f>
        <v>2</v>
      </c>
      <c r="G5" s="7" t="str">
        <f aca="false">_xlfn.CONCAT("DAV",B5)</f>
        <v>DAV3</v>
      </c>
      <c r="H5" s="6" t="n">
        <f aca="false">SQRT((C5-C4)^2+(D5-D4)^2+(E5-E4)^2)</f>
        <v>93.1839991631418</v>
      </c>
      <c r="I5" s="6" t="n">
        <f aca="false">MOD((2*180*(ATAN((C4-C5)/(D5-D4))*180/PI())/360), 360)</f>
        <v>314.733554988163</v>
      </c>
      <c r="J5" s="2" t="n">
        <f aca="false">ASIN((E5-E4)/H5)*180/PI()</f>
        <v>26.1717146582688</v>
      </c>
      <c r="L5" s="6" t="n">
        <f aca="false">C5-C4</f>
        <v>-59.4099999999744</v>
      </c>
      <c r="M5" s="6" t="n">
        <f aca="false">D5-D4</f>
        <v>-58.8600000003353</v>
      </c>
      <c r="N5" s="6" t="n">
        <f aca="false">(C5-C4)/(D5-D4)</f>
        <v>1.00934420658573</v>
      </c>
      <c r="O5" s="12" t="n">
        <f aca="false">ATAN((C5-C4)/(D5-D4))*180/PI()</f>
        <v>45.2664450118373</v>
      </c>
      <c r="P5" s="6" t="n">
        <f aca="false">IF(M5&lt;0,O5+180,IF(AND(M5&gt;0,L5&lt;0),O5+360,O5))</f>
        <v>225.266445011837</v>
      </c>
      <c r="Q5" s="6" t="n">
        <f aca="false">P5-1.437</f>
        <v>223.829445011837</v>
      </c>
      <c r="S5" s="6" t="n">
        <f aca="false">F5</f>
        <v>2</v>
      </c>
      <c r="T5" s="6" t="str">
        <f aca="false">G5</f>
        <v>DAV3</v>
      </c>
      <c r="U5" s="6" t="n">
        <f aca="false">H5</f>
        <v>93.1839991631418</v>
      </c>
      <c r="V5" s="6" t="n">
        <f aca="false">Q5</f>
        <v>223.829445011837</v>
      </c>
      <c r="W5" s="2" t="n">
        <f aca="false">J5</f>
        <v>26.1717146582688</v>
      </c>
    </row>
    <row r="6" customFormat="false" ht="12.8" hidden="false" customHeight="false" outlineLevel="0" collapsed="false">
      <c r="A6" s="6" t="s">
        <v>5</v>
      </c>
      <c r="B6" s="1" t="n">
        <v>4</v>
      </c>
      <c r="C6" s="2" t="n">
        <v>352901.94</v>
      </c>
      <c r="D6" s="2" t="n">
        <v>5268026.5</v>
      </c>
      <c r="E6" s="2" t="n">
        <v>2159.2</v>
      </c>
      <c r="F6" s="6" t="n">
        <f aca="false">B5</f>
        <v>3</v>
      </c>
      <c r="G6" s="7" t="str">
        <f aca="false">_xlfn.CONCAT("DAV",B6)</f>
        <v>DAV4</v>
      </c>
      <c r="H6" s="6" t="n">
        <f aca="false">SQRT((C6-C5)^2+(D6-D5)^2+(E6-E5)^2)</f>
        <v>155.210383028866</v>
      </c>
      <c r="I6" s="6" t="n">
        <f aca="false">MOD((2*180*(ATAN((C5-C6)/(D6-D5))*180/PI())/360), 360)</f>
        <v>6.68648399894699</v>
      </c>
      <c r="J6" s="2" t="n">
        <f aca="false">ASIN((E6-E5)/H6)*180/PI()</f>
        <v>-17.9756858345895</v>
      </c>
      <c r="L6" s="6" t="n">
        <f aca="false">C6-C5</f>
        <v>17.1900000000023</v>
      </c>
      <c r="M6" s="6" t="n">
        <f aca="false">D6-D5</f>
        <v>-146.629999999888</v>
      </c>
      <c r="N6" s="6" t="n">
        <f aca="false">(C6-C5)/(D6-D5)</f>
        <v>-0.11723385391813</v>
      </c>
      <c r="O6" s="12" t="n">
        <f aca="false">ATAN((C6-C5)/(D6-D5))*180/PI()</f>
        <v>-6.68648399894699</v>
      </c>
      <c r="P6" s="6" t="n">
        <f aca="false">IF(M6&lt;0,O6+180,IF(AND(M6&gt;0,L6&lt;0),O6+360,O6))</f>
        <v>173.313516001053</v>
      </c>
      <c r="Q6" s="6" t="n">
        <f aca="false">P6-1.437</f>
        <v>171.876516001053</v>
      </c>
      <c r="S6" s="6" t="n">
        <f aca="false">F6</f>
        <v>3</v>
      </c>
      <c r="T6" s="6" t="str">
        <f aca="false">G6</f>
        <v>DAV4</v>
      </c>
      <c r="U6" s="6" t="n">
        <f aca="false">H6</f>
        <v>155.210383028866</v>
      </c>
      <c r="V6" s="6" t="n">
        <f aca="false">Q6</f>
        <v>171.876516001053</v>
      </c>
      <c r="W6" s="2" t="n">
        <f aca="false">J6</f>
        <v>-17.9756858345895</v>
      </c>
    </row>
    <row r="7" customFormat="false" ht="12.8" hidden="false" customHeight="false" outlineLevel="0" collapsed="false">
      <c r="A7" s="6" t="s">
        <v>5</v>
      </c>
      <c r="B7" s="1" t="n">
        <v>5</v>
      </c>
      <c r="C7" s="2" t="n">
        <v>352903.29</v>
      </c>
      <c r="D7" s="2" t="n">
        <v>5267914.87</v>
      </c>
      <c r="E7" s="2" t="n">
        <v>2203.8</v>
      </c>
      <c r="F7" s="6" t="n">
        <f aca="false">B6</f>
        <v>4</v>
      </c>
      <c r="G7" s="7" t="str">
        <f aca="false">_xlfn.CONCAT("DAV",B7)</f>
        <v>DAV5</v>
      </c>
      <c r="H7" s="6" t="n">
        <f aca="false">SQRT((C7-C6)^2+(D7-D6)^2+(E7-E6)^2)</f>
        <v>120.217467116784</v>
      </c>
      <c r="I7" s="6" t="n">
        <f aca="false">MOD((2*180*(ATAN((C6-C7)/(D7-D6))*180/PI())/360), 360)</f>
        <v>0.692874064396499</v>
      </c>
      <c r="J7" s="2" t="n">
        <f aca="false">ASIN((E7-E6)/H7)*180/PI()</f>
        <v>21.7769539445999</v>
      </c>
      <c r="L7" s="6" t="n">
        <f aca="false">C7-C6</f>
        <v>1.34999999997672</v>
      </c>
      <c r="M7" s="6" t="n">
        <f aca="false">D7-D6</f>
        <v>-111.629999999888</v>
      </c>
      <c r="N7" s="6" t="n">
        <f aca="false">(C7-C6)/(D7-D6)</f>
        <v>-0.0120935232462427</v>
      </c>
      <c r="O7" s="12" t="n">
        <f aca="false">ATAN((C7-C6)/(D7-D6))*180/PI()</f>
        <v>-0.692874064396499</v>
      </c>
      <c r="P7" s="6" t="n">
        <f aca="false">IF(M7&lt;0,O7+180,IF(AND(M7&gt;0,L7&lt;0),O7+360,O7))</f>
        <v>179.307125935604</v>
      </c>
      <c r="Q7" s="6" t="n">
        <f aca="false">P7-1.437</f>
        <v>177.870125935603</v>
      </c>
      <c r="S7" s="6" t="n">
        <f aca="false">F7</f>
        <v>4</v>
      </c>
      <c r="T7" s="6" t="str">
        <f aca="false">G7</f>
        <v>DAV5</v>
      </c>
      <c r="U7" s="6" t="n">
        <f aca="false">H7</f>
        <v>120.217467116784</v>
      </c>
      <c r="V7" s="6" t="n">
        <f aca="false">Q7</f>
        <v>177.870125935603</v>
      </c>
      <c r="W7" s="2" t="n">
        <f aca="false">J7</f>
        <v>21.7769539445999</v>
      </c>
    </row>
    <row r="8" customFormat="false" ht="12.8" hidden="false" customHeight="false" outlineLevel="0" collapsed="false">
      <c r="A8" s="6" t="s">
        <v>5</v>
      </c>
      <c r="B8" s="1" t="n">
        <v>6</v>
      </c>
      <c r="C8" s="2" t="n">
        <v>352859.87</v>
      </c>
      <c r="D8" s="2" t="n">
        <v>5267804.01</v>
      </c>
      <c r="E8" s="2" t="n">
        <v>2177.1</v>
      </c>
      <c r="F8" s="6" t="n">
        <f aca="false">B7</f>
        <v>5</v>
      </c>
      <c r="G8" s="7" t="str">
        <f aca="false">_xlfn.CONCAT("DAV",B8)</f>
        <v>DAV6</v>
      </c>
      <c r="H8" s="6" t="n">
        <f aca="false">SQRT((C8-C7)^2+(D8-D7)^2+(E8-E7)^2)</f>
        <v>122.016908664631</v>
      </c>
      <c r="I8" s="6" t="n">
        <f aca="false">MOD((2*180*(ATAN((C7-C8)/(D8-D7))*180/PI())/360), 360)</f>
        <v>338.611451854212</v>
      </c>
      <c r="J8" s="2" t="n">
        <f aca="false">ASIN((E8-E7)/H8)*180/PI()</f>
        <v>-12.6398605203573</v>
      </c>
      <c r="L8" s="6" t="n">
        <f aca="false">C8-C7</f>
        <v>-43.4199999999837</v>
      </c>
      <c r="M8" s="6" t="n">
        <f aca="false">D8-D7</f>
        <v>-110.860000000335</v>
      </c>
      <c r="N8" s="6" t="n">
        <f aca="false">(C8-C7)/(D8-D7)</f>
        <v>0.391665163267656</v>
      </c>
      <c r="O8" s="12" t="n">
        <f aca="false">ATAN((C8-C7)/(D8-D7))*180/PI()</f>
        <v>21.3885481457877</v>
      </c>
      <c r="P8" s="6" t="n">
        <f aca="false">IF(M8&lt;0,O8+180,IF(AND(M8&gt;0,L8&lt;0),O8+360,O8))</f>
        <v>201.388548145788</v>
      </c>
      <c r="Q8" s="6" t="n">
        <f aca="false">P8-1.437</f>
        <v>199.951548145788</v>
      </c>
      <c r="S8" s="6" t="n">
        <f aca="false">F8</f>
        <v>5</v>
      </c>
      <c r="T8" s="6" t="str">
        <f aca="false">G8</f>
        <v>DAV6</v>
      </c>
      <c r="U8" s="6" t="n">
        <f aca="false">H8</f>
        <v>122.016908664631</v>
      </c>
      <c r="V8" s="6" t="n">
        <f aca="false">Q8</f>
        <v>199.951548145788</v>
      </c>
      <c r="W8" s="2" t="n">
        <f aca="false">J8</f>
        <v>-12.6398605203573</v>
      </c>
    </row>
    <row r="9" customFormat="false" ht="12.8" hidden="false" customHeight="false" outlineLevel="0" collapsed="false">
      <c r="A9" s="6" t="s">
        <v>5</v>
      </c>
      <c r="B9" s="1" t="n">
        <v>7</v>
      </c>
      <c r="C9" s="2" t="n">
        <v>352782.3</v>
      </c>
      <c r="D9" s="2" t="n">
        <v>5267704.8</v>
      </c>
      <c r="E9" s="2" t="n">
        <v>2120</v>
      </c>
      <c r="F9" s="6" t="n">
        <f aca="false">B8</f>
        <v>6</v>
      </c>
      <c r="G9" s="7" t="str">
        <f aca="false">_xlfn.CONCAT("DAV",B9)</f>
        <v>DAV7</v>
      </c>
      <c r="H9" s="6" t="n">
        <f aca="false">SQRT((C9-C8)^2+(D9-D8)^2+(E9-E8)^2)</f>
        <v>138.27559075988</v>
      </c>
      <c r="I9" s="6" t="n">
        <f aca="false">MOD((2*180*(ATAN((C8-C9)/(D9-D8))*180/PI())/360), 360)</f>
        <v>321.978972042359</v>
      </c>
      <c r="J9" s="2" t="n">
        <f aca="false">ASIN((E9-E8)/H9)*180/PI()</f>
        <v>-24.3898725674925</v>
      </c>
      <c r="L9" s="6" t="n">
        <f aca="false">C9-C8</f>
        <v>-77.570000000007</v>
      </c>
      <c r="M9" s="6" t="n">
        <f aca="false">D9-D8</f>
        <v>-99.2099999999628</v>
      </c>
      <c r="N9" s="6" t="n">
        <f aca="false">(C9-C8)/(D9-D8)</f>
        <v>0.781876826933133</v>
      </c>
      <c r="O9" s="12" t="n">
        <f aca="false">ATAN((C9-C8)/(D9-D8))*180/PI()</f>
        <v>38.0210279576411</v>
      </c>
      <c r="P9" s="6" t="n">
        <f aca="false">IF(M9&lt;0,O9+180,IF(AND(M9&gt;0,L9&lt;0),O9+360,O9))</f>
        <v>218.021027957641</v>
      </c>
      <c r="Q9" s="6" t="n">
        <f aca="false">P9-1.437</f>
        <v>216.584027957641</v>
      </c>
      <c r="S9" s="6" t="n">
        <f aca="false">F9</f>
        <v>6</v>
      </c>
      <c r="T9" s="6" t="str">
        <f aca="false">G9</f>
        <v>DAV7</v>
      </c>
      <c r="U9" s="6" t="n">
        <f aca="false">H9</f>
        <v>138.27559075988</v>
      </c>
      <c r="V9" s="6" t="n">
        <f aca="false">Q9</f>
        <v>216.584027957641</v>
      </c>
      <c r="W9" s="2" t="n">
        <f aca="false">J9</f>
        <v>-24.3898725674925</v>
      </c>
    </row>
    <row r="10" customFormat="false" ht="12.8" hidden="false" customHeight="false" outlineLevel="0" collapsed="false">
      <c r="A10" s="6" t="s">
        <v>5</v>
      </c>
      <c r="B10" s="1" t="n">
        <v>8</v>
      </c>
      <c r="C10" s="2" t="n">
        <v>352718.31</v>
      </c>
      <c r="D10" s="2" t="n">
        <v>5267689.37</v>
      </c>
      <c r="E10" s="2" t="n">
        <v>2098.1</v>
      </c>
      <c r="F10" s="6" t="n">
        <f aca="false">B9</f>
        <v>7</v>
      </c>
      <c r="G10" s="7" t="str">
        <f aca="false">_xlfn.CONCAT("DAV",B10)</f>
        <v>DAV8</v>
      </c>
      <c r="H10" s="6" t="n">
        <f aca="false">SQRT((C10-C9)^2+(D10-D9)^2+(E10-E9)^2)</f>
        <v>69.3715719873034</v>
      </c>
      <c r="I10" s="6" t="n">
        <f aca="false">MOD((2*180*(ATAN((C9-C10)/(D10-D9))*180/PI())/360), 360)</f>
        <v>283.557012889946</v>
      </c>
      <c r="J10" s="2" t="n">
        <f aca="false">ASIN((E10-E9)/H10)*180/PI()</f>
        <v>-18.4025504620939</v>
      </c>
      <c r="L10" s="6" t="n">
        <f aca="false">C10-C9</f>
        <v>-63.9899999999907</v>
      </c>
      <c r="M10" s="6" t="n">
        <f aca="false">D10-D9</f>
        <v>-15.429999999702</v>
      </c>
      <c r="N10" s="6" t="n">
        <f aca="false">(C10-C9)/(D10-D9)</f>
        <v>4.14711600785655</v>
      </c>
      <c r="O10" s="12" t="n">
        <f aca="false">ATAN((C10-C9)/(D10-D9))*180/PI()</f>
        <v>76.4429871100545</v>
      </c>
      <c r="P10" s="6" t="n">
        <f aca="false">IF(M10&lt;0,O10+180,IF(AND(M10&gt;0,L10&lt;0),O10+360,O10))</f>
        <v>256.442987110054</v>
      </c>
      <c r="Q10" s="6" t="n">
        <f aca="false">P10-1.437</f>
        <v>255.005987110054</v>
      </c>
      <c r="S10" s="6" t="n">
        <f aca="false">F10</f>
        <v>7</v>
      </c>
      <c r="T10" s="6" t="str">
        <f aca="false">G10</f>
        <v>DAV8</v>
      </c>
      <c r="U10" s="6" t="n">
        <f aca="false">H10</f>
        <v>69.3715719873034</v>
      </c>
      <c r="V10" s="6" t="n">
        <f aca="false">Q10</f>
        <v>255.005987110054</v>
      </c>
      <c r="W10" s="2" t="n">
        <f aca="false">J10</f>
        <v>-18.4025504620939</v>
      </c>
    </row>
    <row r="11" customFormat="false" ht="12.8" hidden="false" customHeight="false" outlineLevel="0" collapsed="false">
      <c r="A11" s="6" t="s">
        <v>5</v>
      </c>
      <c r="B11" s="1" t="n">
        <v>9</v>
      </c>
      <c r="C11" s="2" t="n">
        <v>352670.63</v>
      </c>
      <c r="D11" s="2" t="n">
        <v>5267624.3</v>
      </c>
      <c r="E11" s="2" t="n">
        <v>2124.7</v>
      </c>
      <c r="F11" s="6" t="n">
        <f aca="false">B10</f>
        <v>8</v>
      </c>
      <c r="G11" s="7" t="str">
        <f aca="false">_xlfn.CONCAT("DAV",B11)</f>
        <v>DAV9</v>
      </c>
      <c r="H11" s="6" t="n">
        <f aca="false">SQRT((C11-C10)^2+(D11-D10)^2+(E11-E10)^2)</f>
        <v>84.9414345301403</v>
      </c>
      <c r="I11" s="6" t="n">
        <f aca="false">MOD((2*180*(ATAN((C10-C11)/(D11-D10))*180/PI())/360), 360)</f>
        <v>323.767926967656</v>
      </c>
      <c r="J11" s="2" t="n">
        <f aca="false">ASIN((E11-E10)/H11)*180/PI()</f>
        <v>18.2495859436493</v>
      </c>
      <c r="L11" s="6" t="n">
        <f aca="false">C11-C10</f>
        <v>-47.679999999993</v>
      </c>
      <c r="M11" s="6" t="n">
        <f aca="false">D11-D10</f>
        <v>-65.070000000298</v>
      </c>
      <c r="N11" s="6" t="n">
        <f aca="false">(C11-C10)/(D11-D10)</f>
        <v>0.732749346853767</v>
      </c>
      <c r="O11" s="12" t="n">
        <f aca="false">ATAN((C11-C10)/(D11-D10))*180/PI()</f>
        <v>36.2320730323437</v>
      </c>
      <c r="P11" s="6" t="n">
        <f aca="false">IF(M11&lt;0,O11+180,IF(AND(M11&gt;0,L11&lt;0),O11+360,O11))</f>
        <v>216.232073032344</v>
      </c>
      <c r="Q11" s="6" t="n">
        <f aca="false">P11-1.437</f>
        <v>214.795073032344</v>
      </c>
      <c r="S11" s="6" t="n">
        <f aca="false">F11</f>
        <v>8</v>
      </c>
      <c r="T11" s="6" t="str">
        <f aca="false">G11</f>
        <v>DAV9</v>
      </c>
      <c r="U11" s="6" t="n">
        <f aca="false">H11</f>
        <v>84.9414345301403</v>
      </c>
      <c r="V11" s="6" t="n">
        <f aca="false">Q11</f>
        <v>214.795073032344</v>
      </c>
      <c r="W11" s="2" t="n">
        <f aca="false">J11</f>
        <v>18.2495859436493</v>
      </c>
    </row>
    <row r="12" customFormat="false" ht="12.8" hidden="false" customHeight="false" outlineLevel="0" collapsed="false">
      <c r="A12" s="6" t="s">
        <v>5</v>
      </c>
      <c r="B12" s="1" t="n">
        <v>10</v>
      </c>
      <c r="C12" s="2" t="n">
        <v>352597.33</v>
      </c>
      <c r="D12" s="2" t="n">
        <v>5267544.24</v>
      </c>
      <c r="E12" s="2" t="n">
        <v>2131.4</v>
      </c>
      <c r="F12" s="6" t="n">
        <f aca="false">B11</f>
        <v>9</v>
      </c>
      <c r="G12" s="7" t="str">
        <f aca="false">_xlfn.CONCAT("DAV",B12)</f>
        <v>DAV10</v>
      </c>
      <c r="H12" s="6" t="n">
        <f aca="false">SQRT((C12-C11)^2+(D12-D11)^2+(E12-E11)^2)</f>
        <v>108.75377510658</v>
      </c>
      <c r="I12" s="6" t="n">
        <f aca="false">MOD((2*180*(ATAN((C11-C12)/(D12-D11))*180/PI())/360), 360)</f>
        <v>317.523923511324</v>
      </c>
      <c r="J12" s="2" t="n">
        <f aca="false">ASIN((E12-E11)/H12)*180/PI()</f>
        <v>3.5320610315443</v>
      </c>
      <c r="L12" s="6" t="n">
        <f aca="false">C12-C11</f>
        <v>-73.2999999999884</v>
      </c>
      <c r="M12" s="6" t="n">
        <f aca="false">D12-D11</f>
        <v>-80.0599999995902</v>
      </c>
      <c r="N12" s="6" t="n">
        <f aca="false">(C12-C11)/(D12-D11)</f>
        <v>0.915563327508913</v>
      </c>
      <c r="O12" s="12" t="n">
        <f aca="false">ATAN((C12-C11)/(D12-D11))*180/PI()</f>
        <v>42.4760764886761</v>
      </c>
      <c r="P12" s="6" t="n">
        <f aca="false">IF(M12&lt;0,O12+180,IF(AND(M12&gt;0,L12&lt;0),O12+360,O12))</f>
        <v>222.476076488676</v>
      </c>
      <c r="Q12" s="6" t="n">
        <f aca="false">P12-1.437</f>
        <v>221.039076488676</v>
      </c>
      <c r="S12" s="6" t="n">
        <f aca="false">F12</f>
        <v>9</v>
      </c>
      <c r="T12" s="6" t="str">
        <f aca="false">G12</f>
        <v>DAV10</v>
      </c>
      <c r="U12" s="6" t="n">
        <f aca="false">H12</f>
        <v>108.75377510658</v>
      </c>
      <c r="V12" s="6" t="n">
        <f aca="false">Q12</f>
        <v>221.039076488676</v>
      </c>
      <c r="W12" s="2" t="n">
        <f aca="false">J12</f>
        <v>3.5320610315443</v>
      </c>
    </row>
    <row r="13" customFormat="false" ht="12.8" hidden="false" customHeight="false" outlineLevel="0" collapsed="false">
      <c r="A13" s="6" t="s">
        <v>5</v>
      </c>
      <c r="B13" s="1" t="n">
        <v>11</v>
      </c>
      <c r="C13" s="2" t="n">
        <v>352296.08</v>
      </c>
      <c r="D13" s="2" t="n">
        <v>5267359.06</v>
      </c>
      <c r="E13" s="2" t="n">
        <v>2077.1</v>
      </c>
      <c r="F13" s="6" t="n">
        <f aca="false">B12</f>
        <v>10</v>
      </c>
      <c r="G13" s="7" t="str">
        <f aca="false">_xlfn.CONCAT("DAV",B13)</f>
        <v>DAV11</v>
      </c>
      <c r="H13" s="6" t="n">
        <f aca="false">SQRT((C13-C12)^2+(D13-D12)^2+(E13-E12)^2)</f>
        <v>357.759255506038</v>
      </c>
      <c r="I13" s="6" t="n">
        <f aca="false">MOD((2*180*(ATAN((C12-C13)/(D13-D12))*180/PI())/360), 360)</f>
        <v>301.579266693504</v>
      </c>
      <c r="J13" s="2" t="n">
        <f aca="false">ASIN((E13-E12)/H13)*180/PI()</f>
        <v>-8.72998088562052</v>
      </c>
      <c r="L13" s="6" t="n">
        <f aca="false">C13-C12</f>
        <v>-301.25</v>
      </c>
      <c r="M13" s="6" t="n">
        <f aca="false">D13-D12</f>
        <v>-185.180000000633</v>
      </c>
      <c r="N13" s="6" t="n">
        <f aca="false">(C13-C12)/(D13-D12)</f>
        <v>1.62679555026984</v>
      </c>
      <c r="O13" s="12" t="n">
        <f aca="false">ATAN((C13-C12)/(D13-D12))*180/PI()</f>
        <v>58.420733306496</v>
      </c>
      <c r="P13" s="6" t="n">
        <f aca="false">IF(M13&lt;0,O13+180,IF(AND(M13&gt;0,L13&lt;0),O13+360,O13))</f>
        <v>238.420733306496</v>
      </c>
      <c r="Q13" s="6" t="n">
        <f aca="false">P13-1.437</f>
        <v>236.983733306496</v>
      </c>
      <c r="S13" s="6" t="n">
        <f aca="false">F13</f>
        <v>10</v>
      </c>
      <c r="T13" s="6" t="str">
        <f aca="false">G13</f>
        <v>DAV11</v>
      </c>
      <c r="U13" s="6" t="n">
        <f aca="false">H13</f>
        <v>357.759255506038</v>
      </c>
      <c r="V13" s="6" t="n">
        <f aca="false">Q13</f>
        <v>236.983733306496</v>
      </c>
      <c r="W13" s="2" t="n">
        <f aca="false">J13</f>
        <v>-8.72998088562052</v>
      </c>
    </row>
    <row r="14" customFormat="false" ht="12.8" hidden="false" customHeight="false" outlineLevel="0" collapsed="false">
      <c r="A14" s="6" t="s">
        <v>5</v>
      </c>
      <c r="B14" s="1" t="n">
        <v>12</v>
      </c>
      <c r="C14" s="2" t="n">
        <v>352259.67</v>
      </c>
      <c r="D14" s="2" t="n">
        <v>5267271.25</v>
      </c>
      <c r="E14" s="2" t="n">
        <v>2107.7</v>
      </c>
      <c r="F14" s="6" t="n">
        <f aca="false">B13</f>
        <v>11</v>
      </c>
      <c r="G14" s="7" t="str">
        <f aca="false">_xlfn.CONCAT("DAV",B14)</f>
        <v>DAV12</v>
      </c>
      <c r="H14" s="6" t="n">
        <f aca="false">SQRT((C14-C13)^2+(D14-D13)^2+(E14-E13)^2)</f>
        <v>99.8631273290117</v>
      </c>
      <c r="I14" s="6" t="n">
        <f aca="false">MOD((2*180*(ATAN((C13-C14)/(D14-D13))*180/PI())/360), 360)</f>
        <v>337.478891203483</v>
      </c>
      <c r="J14" s="2" t="n">
        <f aca="false">ASIN((E14-E13)/H14)*180/PI()</f>
        <v>17.8435790698666</v>
      </c>
      <c r="L14" s="6" t="n">
        <f aca="false">C14-C13</f>
        <v>-36.4100000000326</v>
      </c>
      <c r="M14" s="6" t="n">
        <f aca="false">D14-D13</f>
        <v>-87.8099999995902</v>
      </c>
      <c r="N14" s="6" t="n">
        <f aca="false">(C14-C13)/(D14-D13)</f>
        <v>0.41464525680677</v>
      </c>
      <c r="O14" s="12" t="n">
        <f aca="false">ATAN((C14-C13)/(D14-D13))*180/PI()</f>
        <v>22.5211087965165</v>
      </c>
      <c r="P14" s="6" t="n">
        <f aca="false">IF(M14&lt;0,O14+180,IF(AND(M14&gt;0,L14&lt;0),O14+360,O14))</f>
        <v>202.521108796517</v>
      </c>
      <c r="Q14" s="6" t="n">
        <f aca="false">P14-1.437</f>
        <v>201.084108796517</v>
      </c>
      <c r="S14" s="6" t="n">
        <f aca="false">F14</f>
        <v>11</v>
      </c>
      <c r="T14" s="6" t="str">
        <f aca="false">G14</f>
        <v>DAV12</v>
      </c>
      <c r="U14" s="6" t="n">
        <f aca="false">H14</f>
        <v>99.8631273290117</v>
      </c>
      <c r="V14" s="6" t="n">
        <f aca="false">Q14</f>
        <v>201.084108796517</v>
      </c>
      <c r="W14" s="2" t="n">
        <f aca="false">J14</f>
        <v>17.8435790698666</v>
      </c>
    </row>
    <row r="15" customFormat="false" ht="12.8" hidden="false" customHeight="false" outlineLevel="0" collapsed="false">
      <c r="A15" s="6" t="s">
        <v>5</v>
      </c>
      <c r="B15" s="1" t="n">
        <v>13</v>
      </c>
      <c r="C15" s="2" t="n">
        <v>352362.31</v>
      </c>
      <c r="D15" s="2" t="n">
        <v>5267165.8</v>
      </c>
      <c r="E15" s="2" t="n">
        <v>2094.4</v>
      </c>
      <c r="F15" s="6" t="n">
        <f aca="false">B14</f>
        <v>12</v>
      </c>
      <c r="G15" s="7" t="str">
        <f aca="false">_xlfn.CONCAT("DAV",B15)</f>
        <v>DAV13</v>
      </c>
      <c r="H15" s="6" t="n">
        <f aca="false">SQRT((C15-C14)^2+(D15-D14)^2+(E15-E14)^2)</f>
        <v>147.755074701487</v>
      </c>
      <c r="I15" s="6" t="n">
        <f aca="false">MOD((2*180*(ATAN((C14-C15)/(D15-D14))*180/PI())/360), 360)</f>
        <v>44.2263378575339</v>
      </c>
      <c r="J15" s="2" t="n">
        <f aca="false">ASIN((E15-E14)/H15)*180/PI()</f>
        <v>-5.16440265237189</v>
      </c>
      <c r="L15" s="6" t="n">
        <f aca="false">C15-C14</f>
        <v>102.640000000014</v>
      </c>
      <c r="M15" s="6" t="n">
        <f aca="false">D15-D14</f>
        <v>-105.450000000186</v>
      </c>
      <c r="N15" s="6" t="n">
        <f aca="false">(C15-C14)/(D15-D14)</f>
        <v>-0.973352299666502</v>
      </c>
      <c r="O15" s="12" t="n">
        <f aca="false">ATAN((C15-C14)/(D15-D14))*180/PI()</f>
        <v>-44.2263378575339</v>
      </c>
      <c r="P15" s="6" t="n">
        <f aca="false">IF(M15&lt;0,O15+180,IF(AND(M15&gt;0,L15&lt;0),O15+360,O15))</f>
        <v>135.773662142466</v>
      </c>
      <c r="Q15" s="6" t="n">
        <f aca="false">P15-1.437</f>
        <v>134.336662142466</v>
      </c>
      <c r="S15" s="6" t="n">
        <f aca="false">F15</f>
        <v>12</v>
      </c>
      <c r="T15" s="6" t="str">
        <f aca="false">G15</f>
        <v>DAV13</v>
      </c>
      <c r="U15" s="6" t="n">
        <f aca="false">H15</f>
        <v>147.755074701487</v>
      </c>
      <c r="V15" s="6" t="n">
        <f aca="false">Q15</f>
        <v>134.336662142466</v>
      </c>
      <c r="W15" s="2" t="n">
        <f aca="false">J15</f>
        <v>-5.16440265237189</v>
      </c>
    </row>
    <row r="16" customFormat="false" ht="12.8" hidden="false" customHeight="false" outlineLevel="0" collapsed="false">
      <c r="A16" s="6" t="s">
        <v>5</v>
      </c>
      <c r="B16" s="1" t="n">
        <v>14</v>
      </c>
      <c r="C16" s="2" t="n">
        <v>352285.92</v>
      </c>
      <c r="D16" s="2" t="n">
        <v>5267115.27</v>
      </c>
      <c r="E16" s="2" t="n">
        <v>2072.8</v>
      </c>
      <c r="F16" s="6" t="n">
        <f aca="false">B15</f>
        <v>13</v>
      </c>
      <c r="G16" s="7" t="str">
        <f aca="false">_xlfn.CONCAT("DAV",B16)</f>
        <v>DAV14</v>
      </c>
      <c r="H16" s="6" t="n">
        <f aca="false">SQRT((C16-C15)^2+(D16-D15)^2+(E16-E15)^2)</f>
        <v>94.102460116771</v>
      </c>
      <c r="I16" s="6" t="n">
        <f aca="false">MOD((2*180*(ATAN((C15-C16)/(D16-D15))*180/PI())/360), 360)</f>
        <v>303.483600268455</v>
      </c>
      <c r="J16" s="2" t="n">
        <f aca="false">ASIN((E16-E15)/H16)*180/PI()</f>
        <v>-13.2698168026595</v>
      </c>
      <c r="L16" s="6" t="n">
        <f aca="false">C16-C15</f>
        <v>-76.390000000014</v>
      </c>
      <c r="M16" s="6" t="n">
        <f aca="false">D16-D15</f>
        <v>-50.5300000002608</v>
      </c>
      <c r="N16" s="6" t="n">
        <f aca="false">(C16-C15)/(D16-D15)</f>
        <v>1.51177518305204</v>
      </c>
      <c r="O16" s="12" t="n">
        <f aca="false">ATAN((C16-C15)/(D16-D15))*180/PI()</f>
        <v>56.5163997315448</v>
      </c>
      <c r="P16" s="6" t="n">
        <f aca="false">IF(M16&lt;0,O16+180,IF(AND(M16&gt;0,L16&lt;0),O16+360,O16))</f>
        <v>236.516399731545</v>
      </c>
      <c r="Q16" s="6" t="n">
        <f aca="false">P16-1.437</f>
        <v>235.079399731545</v>
      </c>
      <c r="S16" s="6" t="n">
        <f aca="false">F16</f>
        <v>13</v>
      </c>
      <c r="T16" s="6" t="str">
        <f aca="false">G16</f>
        <v>DAV14</v>
      </c>
      <c r="U16" s="6" t="n">
        <f aca="false">H16</f>
        <v>94.102460116771</v>
      </c>
      <c r="V16" s="6" t="n">
        <f aca="false">Q16</f>
        <v>235.079399731545</v>
      </c>
      <c r="W16" s="2" t="n">
        <f aca="false">J16</f>
        <v>-13.2698168026595</v>
      </c>
    </row>
    <row r="17" customFormat="false" ht="12.8" hidden="false" customHeight="false" outlineLevel="0" collapsed="false">
      <c r="A17" s="6" t="s">
        <v>5</v>
      </c>
      <c r="B17" s="1" t="n">
        <v>15</v>
      </c>
      <c r="C17" s="2" t="n">
        <v>352272.35</v>
      </c>
      <c r="D17" s="2" t="n">
        <v>5267023.71</v>
      </c>
      <c r="E17" s="2" t="n">
        <v>2002.4</v>
      </c>
      <c r="F17" s="6" t="n">
        <f aca="false">B16</f>
        <v>14</v>
      </c>
      <c r="G17" s="7" t="str">
        <f aca="false">_xlfn.CONCAT("DAV",B17)</f>
        <v>DAV15</v>
      </c>
      <c r="H17" s="6" t="n">
        <f aca="false">SQRT((C17-C16)^2+(D17-D16)^2+(E17-E16)^2)</f>
        <v>116.290749846775</v>
      </c>
      <c r="I17" s="6" t="n">
        <f aca="false">MOD((2*180*(ATAN((C16-C17)/(D17-D16))*180/PI())/360), 360)</f>
        <v>351.569629154967</v>
      </c>
      <c r="J17" s="2" t="n">
        <f aca="false">ASIN((E17-E16)/H17)*180/PI()</f>
        <v>-37.2561330718687</v>
      </c>
      <c r="L17" s="6" t="n">
        <f aca="false">C17-C16</f>
        <v>-13.570000000007</v>
      </c>
      <c r="M17" s="6" t="n">
        <f aca="false">D17-D16</f>
        <v>-91.5599999995902</v>
      </c>
      <c r="N17" s="6" t="n">
        <f aca="false">(C17-C16)/(D17-D16)</f>
        <v>0.148208824815069</v>
      </c>
      <c r="O17" s="12" t="n">
        <f aca="false">ATAN((C17-C16)/(D17-D16))*180/PI()</f>
        <v>8.43037084503261</v>
      </c>
      <c r="P17" s="6" t="n">
        <f aca="false">IF(M17&lt;0,O17+180,IF(AND(M17&gt;0,L17&lt;0),O17+360,O17))</f>
        <v>188.430370845033</v>
      </c>
      <c r="Q17" s="6" t="n">
        <f aca="false">P17-1.437</f>
        <v>186.993370845033</v>
      </c>
      <c r="S17" s="6" t="n">
        <f aca="false">F17</f>
        <v>14</v>
      </c>
      <c r="T17" s="6" t="str">
        <f aca="false">G17</f>
        <v>DAV15</v>
      </c>
      <c r="U17" s="6" t="n">
        <f aca="false">H17</f>
        <v>116.290749846775</v>
      </c>
      <c r="V17" s="6" t="n">
        <f aca="false">Q17</f>
        <v>186.993370845033</v>
      </c>
      <c r="W17" s="2" t="n">
        <f aca="false">J17</f>
        <v>-37.2561330718687</v>
      </c>
    </row>
    <row r="18" customFormat="false" ht="12.8" hidden="false" customHeight="false" outlineLevel="0" collapsed="false">
      <c r="A18" s="6" t="s">
        <v>5</v>
      </c>
      <c r="B18" s="1" t="n">
        <v>16</v>
      </c>
      <c r="C18" s="2" t="n">
        <v>352249.12</v>
      </c>
      <c r="D18" s="2" t="n">
        <v>5266983.06</v>
      </c>
      <c r="E18" s="2" t="n">
        <v>2005.4</v>
      </c>
      <c r="F18" s="6" t="n">
        <f aca="false">B17</f>
        <v>15</v>
      </c>
      <c r="G18" s="7" t="str">
        <f aca="false">_xlfn.CONCAT("DAV",B18)</f>
        <v>DAV16</v>
      </c>
      <c r="H18" s="6" t="n">
        <f aca="false">SQRT((C18-C17)^2+(D18-D17)^2+(E18-E17)^2)</f>
        <v>46.9154068513684</v>
      </c>
      <c r="I18" s="6" t="n">
        <f aca="false">MOD((2*180*(ATAN((C17-C18)/(D18-D17))*180/PI())/360), 360)</f>
        <v>330.253600813683</v>
      </c>
      <c r="J18" s="2" t="n">
        <f aca="false">ASIN((E18-E17)/H18)*180/PI()</f>
        <v>3.66627310443945</v>
      </c>
      <c r="L18" s="6" t="n">
        <f aca="false">C18-C17</f>
        <v>-23.2299999999814</v>
      </c>
      <c r="M18" s="6" t="n">
        <f aca="false">D18-D17</f>
        <v>-40.6500000003725</v>
      </c>
      <c r="N18" s="6" t="n">
        <f aca="false">(C18-C17)/(D18-D17)</f>
        <v>0.571463714631451</v>
      </c>
      <c r="O18" s="12" t="n">
        <f aca="false">ATAN((C18-C17)/(D18-D17))*180/PI()</f>
        <v>29.7463991863166</v>
      </c>
      <c r="P18" s="6" t="n">
        <f aca="false">IF(M18&lt;0,O18+180,IF(AND(M18&gt;0,L18&lt;0),O18+360,O18))</f>
        <v>209.746399186317</v>
      </c>
      <c r="Q18" s="6" t="n">
        <f aca="false">P18-1.437</f>
        <v>208.309399186317</v>
      </c>
      <c r="S18" s="6" t="n">
        <f aca="false">F18</f>
        <v>15</v>
      </c>
      <c r="T18" s="6" t="str">
        <f aca="false">G18</f>
        <v>DAV16</v>
      </c>
      <c r="U18" s="6" t="n">
        <f aca="false">H18</f>
        <v>46.9154068513684</v>
      </c>
      <c r="V18" s="6" t="n">
        <f aca="false">Q18</f>
        <v>208.309399186317</v>
      </c>
      <c r="W18" s="2" t="n">
        <f aca="false">J18</f>
        <v>3.66627310443945</v>
      </c>
    </row>
    <row r="19" customFormat="false" ht="12.8" hidden="false" customHeight="false" outlineLevel="0" collapsed="false">
      <c r="A19" s="6" t="s">
        <v>5</v>
      </c>
      <c r="B19" s="1" t="n">
        <v>17</v>
      </c>
      <c r="C19" s="2" t="n">
        <v>352195.16</v>
      </c>
      <c r="D19" s="2" t="n">
        <v>5266943.93</v>
      </c>
      <c r="E19" s="2" t="n">
        <v>2003</v>
      </c>
      <c r="F19" s="6" t="n">
        <f aca="false">B18</f>
        <v>16</v>
      </c>
      <c r="G19" s="7" t="str">
        <f aca="false">_xlfn.CONCAT("DAV",B19)</f>
        <v>DAV17</v>
      </c>
      <c r="H19" s="6" t="n">
        <f aca="false">SQRT((C19-C18)^2+(D19-D18)^2+(E19-E18)^2)</f>
        <v>66.697814806735</v>
      </c>
      <c r="I19" s="6" t="n">
        <f aca="false">MOD((2*180*(ATAN((C18-C19)/(D19-D18))*180/PI())/360), 360)</f>
        <v>305.948375283308</v>
      </c>
      <c r="J19" s="2" t="n">
        <f aca="false">ASIN((E19-E18)/H19)*180/PI()</f>
        <v>-2.06212996527367</v>
      </c>
      <c r="L19" s="6" t="n">
        <f aca="false">C19-C18</f>
        <v>-53.960000000021</v>
      </c>
      <c r="M19" s="6" t="n">
        <f aca="false">D19-D18</f>
        <v>-39.1299999998882</v>
      </c>
      <c r="N19" s="6" t="n">
        <f aca="false">(C19-C18)/(D19-D18)</f>
        <v>1.37899309992781</v>
      </c>
      <c r="O19" s="12" t="n">
        <f aca="false">ATAN((C19-C18)/(D19-D18))*180/PI()</f>
        <v>54.0516247166919</v>
      </c>
      <c r="P19" s="6" t="n">
        <f aca="false">IF(M19&lt;0,O19+180,IF(AND(M19&gt;0,L19&lt;0),O19+360,O19))</f>
        <v>234.051624716692</v>
      </c>
      <c r="Q19" s="6" t="n">
        <f aca="false">P19-1.437</f>
        <v>232.614624716692</v>
      </c>
      <c r="S19" s="6" t="n">
        <f aca="false">F19</f>
        <v>16</v>
      </c>
      <c r="T19" s="6" t="str">
        <f aca="false">G19</f>
        <v>DAV17</v>
      </c>
      <c r="U19" s="6" t="n">
        <f aca="false">H19</f>
        <v>66.697814806735</v>
      </c>
      <c r="V19" s="6" t="n">
        <f aca="false">Q19</f>
        <v>232.614624716692</v>
      </c>
      <c r="W19" s="2" t="n">
        <f aca="false">J19</f>
        <v>-2.06212996527367</v>
      </c>
    </row>
    <row r="20" customFormat="false" ht="12.8" hidden="false" customHeight="false" outlineLevel="0" collapsed="false">
      <c r="A20" s="6" t="s">
        <v>5</v>
      </c>
      <c r="B20" s="1" t="n">
        <v>18</v>
      </c>
      <c r="C20" s="2" t="n">
        <v>352113.02</v>
      </c>
      <c r="D20" s="2" t="n">
        <v>5266923.13</v>
      </c>
      <c r="E20" s="2" t="n">
        <v>2007.7</v>
      </c>
      <c r="F20" s="6" t="n">
        <f aca="false">B19</f>
        <v>17</v>
      </c>
      <c r="G20" s="7" t="str">
        <f aca="false">_xlfn.CONCAT("DAV",B20)</f>
        <v>DAV18</v>
      </c>
      <c r="H20" s="6" t="n">
        <f aca="false">SQRT((C20-C19)^2+(D20-D19)^2+(E20-E19)^2)</f>
        <v>84.8628870589788</v>
      </c>
      <c r="I20" s="6" t="n">
        <f aca="false">MOD((2*180*(ATAN((C19-C20)/(D20-D19))*180/PI())/360), 360)</f>
        <v>284.210085178129</v>
      </c>
      <c r="J20" s="2" t="n">
        <f aca="false">ASIN((E20-E19)/H20)*180/PI()</f>
        <v>3.17486277287873</v>
      </c>
      <c r="L20" s="6" t="n">
        <f aca="false">C20-C19</f>
        <v>-82.1399999999558</v>
      </c>
      <c r="M20" s="6" t="n">
        <f aca="false">D20-D19</f>
        <v>-20.7999999998137</v>
      </c>
      <c r="N20" s="6" t="n">
        <f aca="false">(C20-C19)/(D20-D19)</f>
        <v>3.9490384615717</v>
      </c>
      <c r="O20" s="12" t="n">
        <f aca="false">ATAN((C20-C19)/(D20-D19))*180/PI()</f>
        <v>75.7899148218713</v>
      </c>
      <c r="P20" s="6" t="n">
        <f aca="false">IF(M20&lt;0,O20+180,IF(AND(M20&gt;0,L20&lt;0),O20+360,O20))</f>
        <v>255.789914821871</v>
      </c>
      <c r="Q20" s="6" t="n">
        <f aca="false">P20-1.437</f>
        <v>254.352914821871</v>
      </c>
      <c r="S20" s="6" t="n">
        <f aca="false">F20</f>
        <v>17</v>
      </c>
      <c r="T20" s="6" t="str">
        <f aca="false">G20</f>
        <v>DAV18</v>
      </c>
      <c r="U20" s="6" t="n">
        <f aca="false">H20</f>
        <v>84.8628870589788</v>
      </c>
      <c r="V20" s="6" t="n">
        <f aca="false">Q20</f>
        <v>254.352914821871</v>
      </c>
      <c r="W20" s="2" t="n">
        <f aca="false">J20</f>
        <v>3.17486277287873</v>
      </c>
    </row>
    <row r="21" customFormat="false" ht="12.8" hidden="false" customHeight="false" outlineLevel="0" collapsed="false">
      <c r="A21" s="6" t="s">
        <v>5</v>
      </c>
      <c r="B21" s="1" t="n">
        <v>19</v>
      </c>
      <c r="C21" s="2" t="n">
        <v>352043.09</v>
      </c>
      <c r="D21" s="2" t="n">
        <v>5266666.64</v>
      </c>
      <c r="E21" s="2" t="n">
        <v>2031.2</v>
      </c>
      <c r="F21" s="6" t="n">
        <f aca="false">B20</f>
        <v>18</v>
      </c>
      <c r="G21" s="7" t="str">
        <f aca="false">_xlfn.CONCAT("DAV",B21)</f>
        <v>DAV19</v>
      </c>
      <c r="H21" s="6" t="n">
        <f aca="false">SQRT((C21-C20)^2+(D21-D20)^2+(E21-E20)^2)</f>
        <v>266.888694028267</v>
      </c>
      <c r="I21" s="6" t="n">
        <f aca="false">MOD((2*180*(ATAN((C20-C21)/(D21-D20))*180/PI())/360), 360)</f>
        <v>344.749417809818</v>
      </c>
      <c r="J21" s="2" t="n">
        <f aca="false">ASIN((E21-E20)/H21)*180/PI()</f>
        <v>5.05153199940458</v>
      </c>
      <c r="L21" s="6" t="n">
        <f aca="false">C21-C20</f>
        <v>-69.929999999993</v>
      </c>
      <c r="M21" s="6" t="n">
        <f aca="false">D21-D20</f>
        <v>-256.490000000224</v>
      </c>
      <c r="N21" s="6" t="n">
        <f aca="false">(C21-C20)/(D21-D20)</f>
        <v>0.272642208272962</v>
      </c>
      <c r="O21" s="12" t="n">
        <f aca="false">ATAN((C21-C20)/(D21-D20))*180/PI()</f>
        <v>15.2505821901825</v>
      </c>
      <c r="P21" s="6" t="n">
        <f aca="false">IF(M21&lt;0,O21+180,IF(AND(M21&gt;0,L21&lt;0),O21+360,O21))</f>
        <v>195.250582190183</v>
      </c>
      <c r="Q21" s="6" t="n">
        <f aca="false">P21-1.437</f>
        <v>193.813582190183</v>
      </c>
      <c r="S21" s="6" t="n">
        <f aca="false">F21</f>
        <v>18</v>
      </c>
      <c r="T21" s="6" t="str">
        <f aca="false">G21</f>
        <v>DAV19</v>
      </c>
      <c r="U21" s="6" t="n">
        <f aca="false">H21</f>
        <v>266.888694028267</v>
      </c>
      <c r="V21" s="6" t="n">
        <f aca="false">Q21</f>
        <v>193.813582190183</v>
      </c>
      <c r="W21" s="2" t="n">
        <f aca="false">J21</f>
        <v>5.05153199940458</v>
      </c>
    </row>
    <row r="22" customFormat="false" ht="12.8" hidden="false" customHeight="false" outlineLevel="0" collapsed="false">
      <c r="A22" s="6" t="s">
        <v>5</v>
      </c>
      <c r="B22" s="1" t="n">
        <v>20</v>
      </c>
      <c r="C22" s="2" t="n">
        <v>351863.17</v>
      </c>
      <c r="D22" s="2" t="n">
        <v>5266556.05</v>
      </c>
      <c r="E22" s="2" t="n">
        <v>2017.7</v>
      </c>
      <c r="F22" s="6" t="n">
        <f aca="false">B21</f>
        <v>19</v>
      </c>
      <c r="G22" s="7" t="str">
        <f aca="false">_xlfn.CONCAT("DAV",B22)</f>
        <v>DAV20</v>
      </c>
      <c r="H22" s="6" t="n">
        <f aca="false">SQRT((C22-C21)^2+(D22-D21)^2+(E22-E21)^2)</f>
        <v>211.621370612663</v>
      </c>
      <c r="I22" s="6" t="n">
        <f aca="false">MOD((2*180*(ATAN((C21-C22)/(D22-D21))*180/PI())/360), 360)</f>
        <v>301.577465189644</v>
      </c>
      <c r="J22" s="2" t="n">
        <f aca="false">ASIN((E22-E21)/H22)*180/PI()</f>
        <v>-3.65756357643697</v>
      </c>
      <c r="L22" s="6" t="n">
        <f aca="false">C22-C21</f>
        <v>-179.920000000042</v>
      </c>
      <c r="M22" s="6" t="n">
        <f aca="false">D22-D21</f>
        <v>-110.589999999851</v>
      </c>
      <c r="N22" s="6" t="n">
        <f aca="false">(C22-C21)/(D22-D21)</f>
        <v>1.62691020888222</v>
      </c>
      <c r="O22" s="12" t="n">
        <f aca="false">ATAN((C22-C21)/(D22-D21))*180/PI()</f>
        <v>58.4225348103562</v>
      </c>
      <c r="P22" s="6" t="n">
        <f aca="false">IF(M22&lt;0,O22+180,IF(AND(M22&gt;0,L22&lt;0),O22+360,O22))</f>
        <v>238.422534810356</v>
      </c>
      <c r="Q22" s="6" t="n">
        <f aca="false">P22-1.437</f>
        <v>236.985534810356</v>
      </c>
      <c r="S22" s="6" t="n">
        <f aca="false">F22</f>
        <v>19</v>
      </c>
      <c r="T22" s="6" t="str">
        <f aca="false">G22</f>
        <v>DAV20</v>
      </c>
      <c r="U22" s="6" t="n">
        <f aca="false">H22</f>
        <v>211.621370612663</v>
      </c>
      <c r="V22" s="6" t="n">
        <f aca="false">Q22</f>
        <v>236.985534810356</v>
      </c>
      <c r="W22" s="2" t="n">
        <f aca="false">J22</f>
        <v>-3.65756357643697</v>
      </c>
    </row>
    <row r="23" customFormat="false" ht="12.8" hidden="false" customHeight="false" outlineLevel="0" collapsed="false">
      <c r="A23" s="6" t="s">
        <v>5</v>
      </c>
      <c r="B23" s="1" t="n">
        <v>21</v>
      </c>
      <c r="C23" s="2" t="n">
        <v>351846.04</v>
      </c>
      <c r="D23" s="2" t="n">
        <v>5266514.61</v>
      </c>
      <c r="E23" s="2" t="n">
        <v>2070.6</v>
      </c>
      <c r="F23" s="6" t="n">
        <f aca="false">B22</f>
        <v>20</v>
      </c>
      <c r="G23" s="7" t="str">
        <f aca="false">_xlfn.CONCAT("DAV",B23)</f>
        <v>DAV21</v>
      </c>
      <c r="H23" s="6" t="n">
        <f aca="false">SQRT((C23-C22)^2+(D23-D22)^2+(E23-E22)^2)</f>
        <v>69.3478226042961</v>
      </c>
      <c r="I23" s="6" t="n">
        <f aca="false">MOD((2*180*(ATAN((C22-C23)/(D23-D22))*180/PI())/360), 360)</f>
        <v>337.541329072404</v>
      </c>
      <c r="J23" s="2" t="n">
        <f aca="false">ASIN((E23-E22)/H23)*180/PI()</f>
        <v>49.7135576093116</v>
      </c>
      <c r="L23" s="6" t="n">
        <f aca="false">C23-C22</f>
        <v>-17.1300000000047</v>
      </c>
      <c r="M23" s="6" t="n">
        <f aca="false">D23-D22</f>
        <v>-41.4399999994785</v>
      </c>
      <c r="N23" s="6" t="n">
        <f aca="false">(C23-C22)/(D23-D22)</f>
        <v>0.413368725874041</v>
      </c>
      <c r="O23" s="12" t="n">
        <f aca="false">ATAN((C23-C22)/(D23-D22))*180/PI()</f>
        <v>22.4586709275962</v>
      </c>
      <c r="P23" s="6" t="n">
        <f aca="false">IF(M23&lt;0,O23+180,IF(AND(M23&gt;0,L23&lt;0),O23+360,O23))</f>
        <v>202.458670927596</v>
      </c>
      <c r="Q23" s="6" t="n">
        <f aca="false">P23-1.437</f>
        <v>201.021670927596</v>
      </c>
      <c r="S23" s="6" t="n">
        <f aca="false">F23</f>
        <v>20</v>
      </c>
      <c r="T23" s="6" t="str">
        <f aca="false">G23</f>
        <v>DAV21</v>
      </c>
      <c r="U23" s="6" t="n">
        <f aca="false">H23</f>
        <v>69.3478226042961</v>
      </c>
      <c r="V23" s="6" t="n">
        <f aca="false">Q23</f>
        <v>201.021670927596</v>
      </c>
      <c r="W23" s="2" t="n">
        <f aca="false">J23</f>
        <v>49.7135576093116</v>
      </c>
    </row>
    <row r="24" customFormat="false" ht="12.8" hidden="false" customHeight="false" outlineLevel="0" collapsed="false">
      <c r="A24" s="6" t="s">
        <v>5</v>
      </c>
      <c r="B24" s="1" t="n">
        <v>22</v>
      </c>
      <c r="C24" s="2" t="n">
        <v>351840.96</v>
      </c>
      <c r="D24" s="2" t="n">
        <v>5266498.71</v>
      </c>
      <c r="E24" s="2" t="n">
        <v>2093.4</v>
      </c>
      <c r="F24" s="6" t="n">
        <f aca="false">B23</f>
        <v>21</v>
      </c>
      <c r="G24" s="7" t="str">
        <f aca="false">_xlfn.CONCAT("DAV",B24)</f>
        <v>DAV22</v>
      </c>
      <c r="H24" s="6" t="n">
        <f aca="false">SQRT((C24-C23)^2+(D24-D23)^2+(E24-E23)^2)</f>
        <v>28.2569708215766</v>
      </c>
      <c r="I24" s="6" t="n">
        <f aca="false">MOD((2*180*(ATAN((C23-C24)/(D24-D23))*180/PI())/360), 360)</f>
        <v>342.281482470294</v>
      </c>
      <c r="J24" s="2" t="n">
        <f aca="false">ASIN((E24-E23)/H24)*180/PI()</f>
        <v>53.7922622946088</v>
      </c>
      <c r="L24" s="6" t="n">
        <f aca="false">C24-C23</f>
        <v>-5.07999999995809</v>
      </c>
      <c r="M24" s="6" t="n">
        <f aca="false">D24-D23</f>
        <v>-15.9000000003725</v>
      </c>
      <c r="N24" s="6" t="n">
        <f aca="false">(C24-C23)/(D24-D23)</f>
        <v>0.319496855335791</v>
      </c>
      <c r="O24" s="12" t="n">
        <f aca="false">ATAN((C24-C23)/(D24-D23))*180/PI()</f>
        <v>17.7185175297056</v>
      </c>
      <c r="P24" s="6" t="n">
        <f aca="false">IF(M24&lt;0,O24+180,IF(AND(M24&gt;0,L24&lt;0),O24+360,O24))</f>
        <v>197.718517529706</v>
      </c>
      <c r="Q24" s="6" t="n">
        <f aca="false">P24-1.437</f>
        <v>196.281517529706</v>
      </c>
      <c r="S24" s="6" t="n">
        <f aca="false">F24</f>
        <v>21</v>
      </c>
      <c r="T24" s="6" t="str">
        <f aca="false">G24</f>
        <v>DAV22</v>
      </c>
      <c r="U24" s="6" t="n">
        <f aca="false">H24</f>
        <v>28.2569708215766</v>
      </c>
      <c r="V24" s="6" t="n">
        <f aca="false">Q24</f>
        <v>196.281517529706</v>
      </c>
      <c r="W24" s="2" t="n">
        <f aca="false">J24</f>
        <v>53.7922622946088</v>
      </c>
    </row>
    <row r="25" customFormat="false" ht="12.8" hidden="false" customHeight="false" outlineLevel="0" collapsed="false">
      <c r="A25" s="6" t="s">
        <v>5</v>
      </c>
      <c r="B25" s="1" t="n">
        <v>23</v>
      </c>
      <c r="C25" s="2" t="n">
        <v>351840.66</v>
      </c>
      <c r="D25" s="2" t="n">
        <v>5266497.2</v>
      </c>
      <c r="E25" s="2" t="n">
        <v>2094.5</v>
      </c>
      <c r="F25" s="6" t="n">
        <f aca="false">B24</f>
        <v>22</v>
      </c>
      <c r="G25" s="7" t="str">
        <f aca="false">_xlfn.CONCAT("DAV",B25)</f>
        <v>DAV23</v>
      </c>
      <c r="H25" s="6" t="n">
        <f aca="false">SQRT((C25-C24)^2+(D25-D24)^2+(E25-E24)^2)</f>
        <v>1.892115218308</v>
      </c>
      <c r="I25" s="6" t="n">
        <f aca="false">MOD((2*180*(ATAN((C24-C25)/(D25-D24))*180/PI())/360), 360)</f>
        <v>348.763055737334</v>
      </c>
      <c r="J25" s="2" t="n">
        <f aca="false">ASIN((E25-E24)/H25)*180/PI()</f>
        <v>35.5462509063342</v>
      </c>
      <c r="L25" s="6" t="n">
        <f aca="false">C25-C24</f>
        <v>-0.300000000046566</v>
      </c>
      <c r="M25" s="6" t="n">
        <f aca="false">D25-D24</f>
        <v>-1.50999999977648</v>
      </c>
      <c r="N25" s="6" t="n">
        <f aca="false">(C25-C24)/(D25-D24)</f>
        <v>0.198675496748989</v>
      </c>
      <c r="O25" s="12" t="n">
        <f aca="false">ATAN((C25-C24)/(D25-D24))*180/PI()</f>
        <v>11.2369442626656</v>
      </c>
      <c r="P25" s="6" t="n">
        <f aca="false">IF(M25&lt;0,O25+180,IF(AND(M25&gt;0,L25&lt;0),O25+360,O25))</f>
        <v>191.236944262666</v>
      </c>
      <c r="Q25" s="6" t="n">
        <f aca="false">P25-1.437</f>
        <v>189.799944262666</v>
      </c>
      <c r="S25" s="6" t="n">
        <f aca="false">F25</f>
        <v>22</v>
      </c>
      <c r="T25" s="6" t="str">
        <f aca="false">G25</f>
        <v>DAV23</v>
      </c>
      <c r="U25" s="6" t="n">
        <f aca="false">H25</f>
        <v>1.892115218308</v>
      </c>
      <c r="V25" s="6" t="n">
        <f aca="false">Q25</f>
        <v>189.799944262666</v>
      </c>
      <c r="W25" s="2" t="n">
        <f aca="false">J25</f>
        <v>35.5462509063342</v>
      </c>
    </row>
    <row r="26" customFormat="false" ht="12.8" hidden="false" customHeight="false" outlineLevel="0" collapsed="false">
      <c r="A26" s="6" t="s">
        <v>5</v>
      </c>
      <c r="B26" s="1" t="n">
        <v>24</v>
      </c>
      <c r="C26" s="2" t="n">
        <v>351840.11</v>
      </c>
      <c r="D26" s="2" t="n">
        <v>5266496.15</v>
      </c>
      <c r="E26" s="2" t="n">
        <v>2095.5</v>
      </c>
      <c r="F26" s="6" t="n">
        <f aca="false">B25</f>
        <v>23</v>
      </c>
      <c r="G26" s="7" t="str">
        <f aca="false">_xlfn.CONCAT("DAV",B26)</f>
        <v>DAV24</v>
      </c>
      <c r="H26" s="6" t="n">
        <f aca="false">SQRT((C26-C25)^2+(D26-D25)^2+(E26-E25)^2)</f>
        <v>1.55080624179684</v>
      </c>
      <c r="I26" s="6" t="n">
        <f aca="false">MOD((2*180*(ATAN((C25-C26)/(D26-D25))*180/PI())/360), 360)</f>
        <v>332.354024632582</v>
      </c>
      <c r="J26" s="2" t="n">
        <f aca="false">ASIN((E26-E25)/H26)*180/PI()</f>
        <v>40.152621826346</v>
      </c>
      <c r="L26" s="6" t="n">
        <f aca="false">C26-C25</f>
        <v>-0.549999999988359</v>
      </c>
      <c r="M26" s="6" t="n">
        <f aca="false">D26-D25</f>
        <v>-1.04999999981374</v>
      </c>
      <c r="N26" s="6" t="n">
        <f aca="false">(C26-C25)/(D26-D25)</f>
        <v>0.523809523891358</v>
      </c>
      <c r="O26" s="12" t="n">
        <f aca="false">ATAN((C26-C25)/(D26-D25))*180/PI()</f>
        <v>27.6459753674179</v>
      </c>
      <c r="P26" s="6" t="n">
        <f aca="false">IF(M26&lt;0,O26+180,IF(AND(M26&gt;0,L26&lt;0),O26+360,O26))</f>
        <v>207.645975367418</v>
      </c>
      <c r="Q26" s="6" t="n">
        <f aca="false">P26-1.437</f>
        <v>206.208975367418</v>
      </c>
      <c r="S26" s="6" t="n">
        <f aca="false">F26</f>
        <v>23</v>
      </c>
      <c r="T26" s="6" t="str">
        <f aca="false">G26</f>
        <v>DAV24</v>
      </c>
      <c r="U26" s="6" t="n">
        <f aca="false">H26</f>
        <v>1.55080624179684</v>
      </c>
      <c r="V26" s="6" t="n">
        <f aca="false">Q26</f>
        <v>206.208975367418</v>
      </c>
      <c r="W26" s="2" t="n">
        <f aca="false">J26</f>
        <v>40.152621826346</v>
      </c>
    </row>
    <row r="27" customFormat="false" ht="12.8" hidden="false" customHeight="false" outlineLevel="0" collapsed="false">
      <c r="A27" s="6" t="s">
        <v>5</v>
      </c>
      <c r="B27" s="1" t="n">
        <v>25</v>
      </c>
      <c r="C27" s="2" t="n">
        <v>351836.17</v>
      </c>
      <c r="D27" s="2" t="n">
        <v>5266491.27</v>
      </c>
      <c r="E27" s="2" t="n">
        <v>2100.4</v>
      </c>
      <c r="F27" s="6" t="n">
        <f aca="false">B26</f>
        <v>24</v>
      </c>
      <c r="G27" s="7" t="str">
        <f aca="false">_xlfn.CONCAT("DAV",B27)</f>
        <v>DAV25</v>
      </c>
      <c r="H27" s="6" t="n">
        <f aca="false">SQRT((C27-C26)^2+(D27-D26)^2+(E27-E26)^2)</f>
        <v>7.95914568330158</v>
      </c>
      <c r="I27" s="6" t="n">
        <f aca="false">MOD((2*180*(ATAN((C26-C27)/(D27-D26))*180/PI())/360), 360)</f>
        <v>321.083389677578</v>
      </c>
      <c r="J27" s="2" t="n">
        <f aca="false">ASIN((E27-E26)/H27)*180/PI()</f>
        <v>37.9987267867928</v>
      </c>
      <c r="L27" s="6" t="n">
        <f aca="false">C27-C26</f>
        <v>-3.94000000000233</v>
      </c>
      <c r="M27" s="6" t="n">
        <f aca="false">D27-D26</f>
        <v>-4.88000000081956</v>
      </c>
      <c r="N27" s="6" t="n">
        <f aca="false">(C27-C26)/(D27-D26)</f>
        <v>0.807377049045211</v>
      </c>
      <c r="O27" s="12" t="n">
        <f aca="false">ATAN((C27-C26)/(D27-D26))*180/PI()</f>
        <v>38.9166103224216</v>
      </c>
      <c r="P27" s="6" t="n">
        <f aca="false">IF(M27&lt;0,O27+180,IF(AND(M27&gt;0,L27&lt;0),O27+360,O27))</f>
        <v>218.916610322422</v>
      </c>
      <c r="Q27" s="6" t="n">
        <f aca="false">P27-1.437</f>
        <v>217.479610322422</v>
      </c>
      <c r="S27" s="6" t="n">
        <f aca="false">F27</f>
        <v>24</v>
      </c>
      <c r="T27" s="6" t="str">
        <f aca="false">G27</f>
        <v>DAV25</v>
      </c>
      <c r="U27" s="6" t="n">
        <f aca="false">H27</f>
        <v>7.95914568330158</v>
      </c>
      <c r="V27" s="6" t="n">
        <f aca="false">Q27</f>
        <v>217.479610322422</v>
      </c>
      <c r="W27" s="2" t="n">
        <f aca="false">J27</f>
        <v>37.9987267867928</v>
      </c>
    </row>
    <row r="28" customFormat="false" ht="12.8" hidden="false" customHeight="false" outlineLevel="0" collapsed="false">
      <c r="A28" s="6" t="s">
        <v>5</v>
      </c>
      <c r="B28" s="1" t="n">
        <v>26</v>
      </c>
      <c r="C28" s="2" t="n">
        <v>351834.52</v>
      </c>
      <c r="D28" s="2" t="n">
        <v>5266488.59</v>
      </c>
      <c r="E28" s="2" t="n">
        <v>2102.4</v>
      </c>
      <c r="F28" s="6" t="n">
        <f aca="false">B27</f>
        <v>25</v>
      </c>
      <c r="G28" s="7" t="str">
        <f aca="false">_xlfn.CONCAT("DAV",B28)</f>
        <v>DAV26</v>
      </c>
      <c r="H28" s="6" t="n">
        <f aca="false">SQRT((C28-C27)^2+(D28-D27)^2+(E28-E27)^2)</f>
        <v>3.72892745950995</v>
      </c>
      <c r="I28" s="6" t="n">
        <f aca="false">MOD((2*180*(ATAN((C27-C28)/(D28-D27))*180/PI())/360), 360)</f>
        <v>328.38057106979</v>
      </c>
      <c r="J28" s="2" t="n">
        <f aca="false">ASIN((E28-E27)/H28)*180/PI()</f>
        <v>32.4353250093303</v>
      </c>
      <c r="L28" s="6" t="n">
        <f aca="false">C28-C27</f>
        <v>-1.64999999996508</v>
      </c>
      <c r="M28" s="6" t="n">
        <f aca="false">D28-D27</f>
        <v>-2.67999999970198</v>
      </c>
      <c r="N28" s="6" t="n">
        <f aca="false">(C28-C27)/(D28-D27)</f>
        <v>0.615671641846478</v>
      </c>
      <c r="O28" s="12" t="n">
        <f aca="false">ATAN((C28-C27)/(D28-D27))*180/PI()</f>
        <v>31.6194289302101</v>
      </c>
      <c r="P28" s="6" t="n">
        <f aca="false">IF(M28&lt;0,O28+180,IF(AND(M28&gt;0,L28&lt;0),O28+360,O28))</f>
        <v>211.61942893021</v>
      </c>
      <c r="Q28" s="6" t="n">
        <f aca="false">P28-1.437</f>
        <v>210.18242893021</v>
      </c>
      <c r="S28" s="6" t="n">
        <f aca="false">F28</f>
        <v>25</v>
      </c>
      <c r="T28" s="6" t="str">
        <f aca="false">G28</f>
        <v>DAV26</v>
      </c>
      <c r="U28" s="6" t="n">
        <f aca="false">H28</f>
        <v>3.72892745950995</v>
      </c>
      <c r="V28" s="6" t="n">
        <f aca="false">Q28</f>
        <v>210.18242893021</v>
      </c>
      <c r="W28" s="2" t="n">
        <f aca="false">J28</f>
        <v>32.4353250093303</v>
      </c>
    </row>
    <row r="29" customFormat="false" ht="12.8" hidden="false" customHeight="false" outlineLevel="0" collapsed="false">
      <c r="A29" s="6" t="s">
        <v>5</v>
      </c>
      <c r="B29" s="1" t="n">
        <v>27</v>
      </c>
      <c r="C29" s="2" t="n">
        <v>351832.37</v>
      </c>
      <c r="D29" s="2" t="n">
        <v>5266484.14</v>
      </c>
      <c r="E29" s="2" t="n">
        <v>2108.1</v>
      </c>
      <c r="F29" s="6" t="n">
        <f aca="false">B28</f>
        <v>26</v>
      </c>
      <c r="G29" s="7" t="str">
        <f aca="false">_xlfn.CONCAT("DAV",B29)</f>
        <v>DAV27</v>
      </c>
      <c r="H29" s="6" t="n">
        <f aca="false">SQRT((C29-C28)^2+(D29-D28)^2+(E29-E28)^2)</f>
        <v>7.54420307267479</v>
      </c>
      <c r="I29" s="6" t="n">
        <f aca="false">MOD((2*180*(ATAN((C28-C29)/(D29-D28))*180/PI())/360), 360)</f>
        <v>334.212671817882</v>
      </c>
      <c r="J29" s="2" t="n">
        <f aca="false">ASIN((E29-E28)/H29)*180/PI()</f>
        <v>49.0731884121134</v>
      </c>
      <c r="L29" s="6" t="n">
        <f aca="false">C29-C28</f>
        <v>-2.15000000002328</v>
      </c>
      <c r="M29" s="6" t="n">
        <f aca="false">D29-D28</f>
        <v>-4.45000000018626</v>
      </c>
      <c r="N29" s="6" t="n">
        <f aca="false">(C29-C28)/(D29-D28)</f>
        <v>0.483146067400739</v>
      </c>
      <c r="O29" s="12" t="n">
        <f aca="false">ATAN((C29-C28)/(D29-D28))*180/PI()</f>
        <v>25.787328182118</v>
      </c>
      <c r="P29" s="6" t="n">
        <f aca="false">IF(M29&lt;0,O29+180,IF(AND(M29&gt;0,L29&lt;0),O29+360,O29))</f>
        <v>205.787328182118</v>
      </c>
      <c r="Q29" s="6" t="n">
        <f aca="false">P29-1.437</f>
        <v>204.350328182118</v>
      </c>
      <c r="S29" s="6" t="n">
        <f aca="false">F29</f>
        <v>26</v>
      </c>
      <c r="T29" s="6" t="str">
        <f aca="false">G29</f>
        <v>DAV27</v>
      </c>
      <c r="U29" s="6" t="n">
        <f aca="false">H29</f>
        <v>7.54420307267479</v>
      </c>
      <c r="V29" s="6" t="n">
        <f aca="false">Q29</f>
        <v>204.350328182118</v>
      </c>
      <c r="W29" s="2" t="n">
        <f aca="false">J29</f>
        <v>49.0731884121134</v>
      </c>
    </row>
    <row r="30" customFormat="false" ht="12.8" hidden="false" customHeight="false" outlineLevel="0" collapsed="false">
      <c r="A30" s="6" t="s">
        <v>5</v>
      </c>
      <c r="B30" s="1" t="n">
        <v>28</v>
      </c>
      <c r="C30" s="2" t="n">
        <v>351831.29</v>
      </c>
      <c r="D30" s="2" t="n">
        <v>5266480</v>
      </c>
      <c r="E30" s="2" t="n">
        <v>2111.5</v>
      </c>
      <c r="F30" s="6" t="n">
        <f aca="false">B29</f>
        <v>27</v>
      </c>
      <c r="G30" s="7" t="str">
        <f aca="false">_xlfn.CONCAT("DAV",B30)</f>
        <v>DAV28</v>
      </c>
      <c r="H30" s="6" t="n">
        <f aca="false">SQRT((C30-C29)^2+(D30-D29)^2+(E30-E29)^2)</f>
        <v>5.46497941416614</v>
      </c>
      <c r="I30" s="6" t="n">
        <f aca="false">MOD((2*180*(ATAN((C29-C30)/(D30-D29))*180/PI())/360), 360)</f>
        <v>345.379126010024</v>
      </c>
      <c r="J30" s="2" t="n">
        <f aca="false">ASIN((E30-E29)/H30)*180/PI()</f>
        <v>38.4728146992474</v>
      </c>
      <c r="L30" s="6" t="n">
        <f aca="false">C30-C29</f>
        <v>-1.0800000000163</v>
      </c>
      <c r="M30" s="6" t="n">
        <f aca="false">D30-D29</f>
        <v>-4.13999999966472</v>
      </c>
      <c r="N30" s="6" t="n">
        <f aca="false">(C30-C29)/(D30-D29)</f>
        <v>0.260869565242454</v>
      </c>
      <c r="O30" s="12" t="n">
        <f aca="false">ATAN((C30-C29)/(D30-D29))*180/PI()</f>
        <v>14.6208739899762</v>
      </c>
      <c r="P30" s="6" t="n">
        <f aca="false">IF(M30&lt;0,O30+180,IF(AND(M30&gt;0,L30&lt;0),O30+360,O30))</f>
        <v>194.620873989976</v>
      </c>
      <c r="Q30" s="6" t="n">
        <f aca="false">P30-1.437</f>
        <v>193.183873989976</v>
      </c>
      <c r="S30" s="6" t="n">
        <f aca="false">F30</f>
        <v>27</v>
      </c>
      <c r="T30" s="6" t="str">
        <f aca="false">G30</f>
        <v>DAV28</v>
      </c>
      <c r="U30" s="6" t="n">
        <f aca="false">H30</f>
        <v>5.46497941416614</v>
      </c>
      <c r="V30" s="6" t="n">
        <f aca="false">Q30</f>
        <v>193.183873989976</v>
      </c>
      <c r="W30" s="2" t="n">
        <f aca="false">J30</f>
        <v>38.4728146992474</v>
      </c>
    </row>
    <row r="31" customFormat="false" ht="12.8" hidden="false" customHeight="false" outlineLevel="0" collapsed="false">
      <c r="A31" s="6" t="s">
        <v>5</v>
      </c>
      <c r="B31" s="1" t="n">
        <v>29</v>
      </c>
      <c r="C31" s="2" t="n">
        <v>351829.82</v>
      </c>
      <c r="D31" s="2" t="n">
        <v>5266472.89</v>
      </c>
      <c r="E31" s="2" t="n">
        <v>2119</v>
      </c>
      <c r="F31" s="6" t="n">
        <f aca="false">B30</f>
        <v>28</v>
      </c>
      <c r="G31" s="7" t="str">
        <f aca="false">_xlfn.CONCAT("DAV",B31)</f>
        <v>DAV29</v>
      </c>
      <c r="H31" s="6" t="n">
        <f aca="false">SQRT((C31-C30)^2+(D31-D30)^2+(E31-E30)^2)</f>
        <v>10.4385343801075</v>
      </c>
      <c r="I31" s="6" t="n">
        <f aca="false">MOD((2*180*(ATAN((C30-C31)/(D31-D30))*180/PI())/360), 360)</f>
        <v>348.318625213361</v>
      </c>
      <c r="J31" s="2" t="n">
        <f aca="false">ASIN((E31-E30)/H31)*180/PI()</f>
        <v>45.9300899294487</v>
      </c>
      <c r="L31" s="6" t="n">
        <f aca="false">C31-C30</f>
        <v>-1.46999999997206</v>
      </c>
      <c r="M31" s="6" t="n">
        <f aca="false">D31-D30</f>
        <v>-7.11000000033528</v>
      </c>
      <c r="N31" s="6" t="n">
        <f aca="false">(C31-C30)/(D31-D30)</f>
        <v>0.206751054838642</v>
      </c>
      <c r="O31" s="12" t="n">
        <f aca="false">ATAN((C31-C30)/(D31-D30))*180/PI()</f>
        <v>11.6813747866394</v>
      </c>
      <c r="P31" s="6" t="n">
        <f aca="false">IF(M31&lt;0,O31+180,IF(AND(M31&gt;0,L31&lt;0),O31+360,O31))</f>
        <v>191.681374786639</v>
      </c>
      <c r="Q31" s="6" t="n">
        <f aca="false">P31-1.437</f>
        <v>190.244374786639</v>
      </c>
      <c r="S31" s="6" t="n">
        <f aca="false">F31</f>
        <v>28</v>
      </c>
      <c r="T31" s="6" t="str">
        <f aca="false">G31</f>
        <v>DAV29</v>
      </c>
      <c r="U31" s="6" t="n">
        <f aca="false">H31</f>
        <v>10.4385343801075</v>
      </c>
      <c r="V31" s="6" t="n">
        <f aca="false">Q31</f>
        <v>190.244374786639</v>
      </c>
      <c r="W31" s="2" t="n">
        <f aca="false">J31</f>
        <v>45.9300899294487</v>
      </c>
    </row>
    <row r="32" customFormat="false" ht="12.8" hidden="false" customHeight="false" outlineLevel="0" collapsed="false">
      <c r="A32" s="6" t="s">
        <v>5</v>
      </c>
      <c r="B32" s="1" t="n">
        <v>30</v>
      </c>
      <c r="C32" s="2" t="n">
        <v>351828.92</v>
      </c>
      <c r="D32" s="2" t="n">
        <v>5266464.9</v>
      </c>
      <c r="E32" s="2" t="n">
        <v>2122</v>
      </c>
      <c r="F32" s="6" t="n">
        <f aca="false">B31</f>
        <v>29</v>
      </c>
      <c r="G32" s="7" t="str">
        <f aca="false">_xlfn.CONCAT("DAV",B32)</f>
        <v>DAV30</v>
      </c>
      <c r="H32" s="6" t="n">
        <f aca="false">SQRT((C32-C31)^2+(D32-D31)^2+(E32-E31)^2)</f>
        <v>8.58196364410449</v>
      </c>
      <c r="I32" s="6" t="n">
        <f aca="false">MOD((2*180*(ATAN((C31-C32)/(D32-D31))*180/PI())/360), 360)</f>
        <v>353.573246916301</v>
      </c>
      <c r="J32" s="2" t="n">
        <f aca="false">ASIN((E32-E31)/H32)*180/PI()</f>
        <v>20.4610378118503</v>
      </c>
      <c r="L32" s="6" t="n">
        <f aca="false">C32-C31</f>
        <v>-0.900000000023283</v>
      </c>
      <c r="M32" s="6" t="n">
        <f aca="false">D32-D31</f>
        <v>-7.9899999992922</v>
      </c>
      <c r="N32" s="6" t="n">
        <f aca="false">(C32-C31)/(D32-D31)</f>
        <v>0.112640801014144</v>
      </c>
      <c r="O32" s="12" t="n">
        <f aca="false">ATAN((C32-C31)/(D32-D31))*180/PI()</f>
        <v>6.42675308369948</v>
      </c>
      <c r="P32" s="6" t="n">
        <f aca="false">IF(M32&lt;0,O32+180,IF(AND(M32&gt;0,L32&lt;0),O32+360,O32))</f>
        <v>186.426753083699</v>
      </c>
      <c r="Q32" s="6" t="n">
        <f aca="false">P32-1.437</f>
        <v>184.989753083699</v>
      </c>
      <c r="S32" s="6" t="n">
        <f aca="false">F32</f>
        <v>29</v>
      </c>
      <c r="T32" s="6" t="str">
        <f aca="false">G32</f>
        <v>DAV30</v>
      </c>
      <c r="U32" s="6" t="n">
        <f aca="false">H32</f>
        <v>8.58196364410449</v>
      </c>
      <c r="V32" s="6" t="n">
        <f aca="false">Q32</f>
        <v>184.989753083699</v>
      </c>
      <c r="W32" s="2" t="n">
        <f aca="false">J32</f>
        <v>20.4610378118503</v>
      </c>
    </row>
    <row r="33" customFormat="false" ht="12.8" hidden="false" customHeight="false" outlineLevel="0" collapsed="false">
      <c r="A33" s="6" t="s">
        <v>5</v>
      </c>
      <c r="B33" s="1" t="n">
        <v>31</v>
      </c>
      <c r="C33" s="2" t="n">
        <v>351827.93</v>
      </c>
      <c r="D33" s="2" t="n">
        <v>5266452.82</v>
      </c>
      <c r="E33" s="2" t="n">
        <v>2134.4</v>
      </c>
      <c r="F33" s="6" t="n">
        <f aca="false">B32</f>
        <v>30</v>
      </c>
      <c r="G33" s="7" t="str">
        <f aca="false">_xlfn.CONCAT("DAV",B33)</f>
        <v>DAV31</v>
      </c>
      <c r="H33" s="6" t="n">
        <f aca="false">SQRT((C33-C32)^2+(D33-D32)^2+(E33-E32)^2)</f>
        <v>17.3397375989887</v>
      </c>
      <c r="I33" s="6" t="n">
        <f aca="false">MOD((2*180*(ATAN((C32-C33)/(D33-D32))*180/PI())/360), 360)</f>
        <v>355.314872517842</v>
      </c>
      <c r="J33" s="2" t="n">
        <f aca="false">ASIN((E33-E32)/H33)*180/PI()</f>
        <v>45.6530668322054</v>
      </c>
      <c r="L33" s="6" t="n">
        <f aca="false">C33-C32</f>
        <v>-0.989999999990687</v>
      </c>
      <c r="M33" s="6" t="n">
        <f aca="false">D33-D32</f>
        <v>-12.0800000000745</v>
      </c>
      <c r="N33" s="6" t="n">
        <f aca="false">(C33-C32)/(D33-D32)</f>
        <v>0.0819536423828295</v>
      </c>
      <c r="O33" s="12" t="n">
        <f aca="false">ATAN((C33-C32)/(D33-D32))*180/PI()</f>
        <v>4.68512748215805</v>
      </c>
      <c r="P33" s="6" t="n">
        <f aca="false">IF(M33&lt;0,O33+180,IF(AND(M33&gt;0,L33&lt;0),O33+360,O33))</f>
        <v>184.685127482158</v>
      </c>
      <c r="Q33" s="6" t="n">
        <f aca="false">P33-1.437</f>
        <v>183.248127482158</v>
      </c>
      <c r="S33" s="6" t="n">
        <f aca="false">F33</f>
        <v>30</v>
      </c>
      <c r="T33" s="6" t="str">
        <f aca="false">G33</f>
        <v>DAV31</v>
      </c>
      <c r="U33" s="6" t="n">
        <f aca="false">H33</f>
        <v>17.3397375989887</v>
      </c>
      <c r="V33" s="6" t="n">
        <f aca="false">Q33</f>
        <v>183.248127482158</v>
      </c>
      <c r="W33" s="2" t="n">
        <f aca="false">J33</f>
        <v>45.6530668322054</v>
      </c>
    </row>
    <row r="34" customFormat="false" ht="12.8" hidden="false" customHeight="false" outlineLevel="0" collapsed="false">
      <c r="A34" s="6" t="s">
        <v>5</v>
      </c>
      <c r="B34" s="1" t="n">
        <v>32</v>
      </c>
      <c r="C34" s="2" t="n">
        <v>351826.22</v>
      </c>
      <c r="D34" s="2" t="n">
        <v>5266446.96</v>
      </c>
      <c r="E34" s="2" t="n">
        <v>2135.4</v>
      </c>
      <c r="F34" s="6" t="n">
        <f aca="false">B33</f>
        <v>31</v>
      </c>
      <c r="G34" s="7" t="str">
        <f aca="false">_xlfn.CONCAT("DAV",B34)</f>
        <v>DAV32</v>
      </c>
      <c r="H34" s="6" t="n">
        <f aca="false">SQRT((C34-C33)^2+(D34-D33)^2+(E34-E33)^2)</f>
        <v>6.18576591894659</v>
      </c>
      <c r="I34" s="6" t="n">
        <f aca="false">MOD((2*180*(ATAN((C33-C34)/(D34-D33))*180/PI())/360), 360)</f>
        <v>343.732286508004</v>
      </c>
      <c r="J34" s="2" t="n">
        <f aca="false">ASIN((E34-E33)/H34)*180/PI()</f>
        <v>9.30334694058398</v>
      </c>
      <c r="L34" s="6" t="n">
        <f aca="false">C34-C33</f>
        <v>-1.71000000002095</v>
      </c>
      <c r="M34" s="6" t="n">
        <f aca="false">D34-D33</f>
        <v>-5.86000000033528</v>
      </c>
      <c r="N34" s="6" t="n">
        <f aca="false">(C34-C33)/(D34-D33)</f>
        <v>0.291808873707017</v>
      </c>
      <c r="O34" s="12" t="n">
        <f aca="false">ATAN((C34-C33)/(D34-D33))*180/PI()</f>
        <v>16.2677134919958</v>
      </c>
      <c r="P34" s="6" t="n">
        <f aca="false">IF(M34&lt;0,O34+180,IF(AND(M34&gt;0,L34&lt;0),O34+360,O34))</f>
        <v>196.267713491996</v>
      </c>
      <c r="Q34" s="6" t="n">
        <f aca="false">P34-1.437</f>
        <v>194.830713491996</v>
      </c>
      <c r="S34" s="6" t="n">
        <f aca="false">F34</f>
        <v>31</v>
      </c>
      <c r="T34" s="6" t="str">
        <f aca="false">G34</f>
        <v>DAV32</v>
      </c>
      <c r="U34" s="6" t="n">
        <f aca="false">H34</f>
        <v>6.18576591894659</v>
      </c>
      <c r="V34" s="6" t="n">
        <f aca="false">Q34</f>
        <v>194.830713491996</v>
      </c>
      <c r="W34" s="2" t="n">
        <f aca="false">J34</f>
        <v>9.30334694058398</v>
      </c>
    </row>
    <row r="35" customFormat="false" ht="12.8" hidden="false" customHeight="false" outlineLevel="0" collapsed="false">
      <c r="A35" s="6" t="s">
        <v>5</v>
      </c>
      <c r="B35" s="1" t="n">
        <v>33</v>
      </c>
      <c r="C35" s="2" t="n">
        <v>351821.67</v>
      </c>
      <c r="D35" s="2" t="n">
        <v>5266438.46</v>
      </c>
      <c r="E35" s="2" t="n">
        <v>2144</v>
      </c>
      <c r="F35" s="6" t="n">
        <f aca="false">B34</f>
        <v>32</v>
      </c>
      <c r="G35" s="7" t="str">
        <f aca="false">_xlfn.CONCAT("DAV",B35)</f>
        <v>DAV33</v>
      </c>
      <c r="H35" s="6" t="n">
        <f aca="false">SQRT((C35-C34)^2+(D35-D34)^2+(E35-E34)^2)</f>
        <v>12.9194620631005</v>
      </c>
      <c r="I35" s="6" t="n">
        <f aca="false">MOD((2*180*(ATAN((C34-C35)/(D35-D34))*180/PI())/360), 360)</f>
        <v>331.8401187154</v>
      </c>
      <c r="J35" s="2" t="n">
        <f aca="false">ASIN((E35-E34)/H35)*180/PI()</f>
        <v>41.7331622635451</v>
      </c>
      <c r="L35" s="6" t="n">
        <f aca="false">C35-C34</f>
        <v>-4.54999999998836</v>
      </c>
      <c r="M35" s="6" t="n">
        <f aca="false">D35-D34</f>
        <v>-8.5</v>
      </c>
      <c r="N35" s="6" t="n">
        <f aca="false">(C35-C34)/(D35-D34)</f>
        <v>0.535294117645689</v>
      </c>
      <c r="O35" s="12" t="n">
        <f aca="false">ATAN((C35-C34)/(D35-D34))*180/PI()</f>
        <v>28.1598812845997</v>
      </c>
      <c r="P35" s="6" t="n">
        <f aca="false">IF(M35&lt;0,O35+180,IF(AND(M35&gt;0,L35&lt;0),O35+360,O35))</f>
        <v>208.1598812846</v>
      </c>
      <c r="Q35" s="6" t="n">
        <f aca="false">P35-1.437</f>
        <v>206.7228812846</v>
      </c>
      <c r="S35" s="6" t="n">
        <f aca="false">F35</f>
        <v>32</v>
      </c>
      <c r="T35" s="6" t="str">
        <f aca="false">G35</f>
        <v>DAV33</v>
      </c>
      <c r="U35" s="6" t="n">
        <f aca="false">H35</f>
        <v>12.9194620631005</v>
      </c>
      <c r="V35" s="6" t="n">
        <f aca="false">Q35</f>
        <v>206.7228812846</v>
      </c>
      <c r="W35" s="2" t="n">
        <f aca="false">J35</f>
        <v>41.7331622635451</v>
      </c>
    </row>
    <row r="36" customFormat="false" ht="12.8" hidden="false" customHeight="false" outlineLevel="0" collapsed="false">
      <c r="A36" s="6" t="s">
        <v>5</v>
      </c>
      <c r="B36" s="1" t="n">
        <v>34</v>
      </c>
      <c r="C36" s="2" t="n">
        <v>351820.42</v>
      </c>
      <c r="D36" s="2" t="n">
        <v>5266435.84</v>
      </c>
      <c r="E36" s="2" t="n">
        <v>2145.4</v>
      </c>
      <c r="F36" s="6" t="n">
        <f aca="false">B35</f>
        <v>33</v>
      </c>
      <c r="G36" s="7" t="str">
        <f aca="false">_xlfn.CONCAT("DAV",B36)</f>
        <v>DAV34</v>
      </c>
      <c r="H36" s="6" t="n">
        <f aca="false">SQRT((C36-C35)^2+(D36-D35)^2+(E36-E35)^2)</f>
        <v>3.22287139063691</v>
      </c>
      <c r="I36" s="6" t="n">
        <f aca="false">MOD((2*180*(ATAN((C35-C36)/(D36-D35))*180/PI())/360), 360)</f>
        <v>334.494226200156</v>
      </c>
      <c r="J36" s="2" t="n">
        <f aca="false">ASIN((E36-E35)/H36)*180/PI()</f>
        <v>25.7468184774086</v>
      </c>
      <c r="L36" s="6" t="n">
        <f aca="false">C36-C35</f>
        <v>-1.25</v>
      </c>
      <c r="M36" s="6" t="n">
        <f aca="false">D36-D35</f>
        <v>-2.62000000011176</v>
      </c>
      <c r="N36" s="6" t="n">
        <f aca="false">(C36-C35)/(D36-D35)</f>
        <v>0.47709923662087</v>
      </c>
      <c r="O36" s="12" t="n">
        <f aca="false">ATAN((C36-C35)/(D36-D35))*180/PI()</f>
        <v>25.5057737998436</v>
      </c>
      <c r="P36" s="6" t="n">
        <f aca="false">IF(M36&lt;0,O36+180,IF(AND(M36&gt;0,L36&lt;0),O36+360,O36))</f>
        <v>205.505773799844</v>
      </c>
      <c r="Q36" s="6" t="n">
        <f aca="false">P36-1.437</f>
        <v>204.068773799844</v>
      </c>
      <c r="S36" s="6" t="n">
        <f aca="false">F36</f>
        <v>33</v>
      </c>
      <c r="T36" s="6" t="str">
        <f aca="false">G36</f>
        <v>DAV34</v>
      </c>
      <c r="U36" s="6" t="n">
        <f aca="false">H36</f>
        <v>3.22287139063691</v>
      </c>
      <c r="V36" s="6" t="n">
        <f aca="false">Q36</f>
        <v>204.068773799844</v>
      </c>
      <c r="W36" s="2" t="n">
        <f aca="false">J36</f>
        <v>25.7468184774086</v>
      </c>
    </row>
    <row r="37" customFormat="false" ht="12.8" hidden="false" customHeight="false" outlineLevel="0" collapsed="false">
      <c r="A37" s="6" t="s">
        <v>5</v>
      </c>
      <c r="B37" s="1" t="n">
        <v>35</v>
      </c>
      <c r="C37" s="2" t="n">
        <v>351819.71</v>
      </c>
      <c r="D37" s="2" t="n">
        <v>5266433.68</v>
      </c>
      <c r="E37" s="2" t="n">
        <v>2147.8</v>
      </c>
      <c r="F37" s="6" t="n">
        <f aca="false">B36</f>
        <v>34</v>
      </c>
      <c r="G37" s="7" t="str">
        <f aca="false">_xlfn.CONCAT("DAV",B37)</f>
        <v>DAV35</v>
      </c>
      <c r="H37" s="6" t="n">
        <f aca="false">SQRT((C37-C36)^2+(D37-D36)^2+(E37-E36)^2)</f>
        <v>3.30600967944609</v>
      </c>
      <c r="I37" s="6" t="n">
        <f aca="false">MOD((2*180*(ATAN((C36-C37)/(D37-D36))*180/PI())/360), 360)</f>
        <v>341.804114240425</v>
      </c>
      <c r="J37" s="2" t="n">
        <f aca="false">ASIN((E37-E36)/H37)*180/PI()</f>
        <v>46.5479913875009</v>
      </c>
      <c r="L37" s="6" t="n">
        <f aca="false">C37-C36</f>
        <v>-0.709999999962747</v>
      </c>
      <c r="M37" s="6" t="n">
        <f aca="false">D37-D36</f>
        <v>-2.16000000014901</v>
      </c>
      <c r="N37" s="6" t="n">
        <f aca="false">(C37-C36)/(D37-D36)</f>
        <v>0.328703703663781</v>
      </c>
      <c r="O37" s="12" t="n">
        <f aca="false">ATAN((C37-C36)/(D37-D36))*180/PI()</f>
        <v>18.1958857595748</v>
      </c>
      <c r="P37" s="6" t="n">
        <f aca="false">IF(M37&lt;0,O37+180,IF(AND(M37&gt;0,L37&lt;0),O37+360,O37))</f>
        <v>198.195885759575</v>
      </c>
      <c r="Q37" s="6" t="n">
        <f aca="false">P37-1.437</f>
        <v>196.758885759575</v>
      </c>
      <c r="S37" s="6" t="n">
        <f aca="false">F37</f>
        <v>34</v>
      </c>
      <c r="T37" s="6" t="str">
        <f aca="false">G37</f>
        <v>DAV35</v>
      </c>
      <c r="U37" s="6" t="n">
        <f aca="false">H37</f>
        <v>3.30600967944609</v>
      </c>
      <c r="V37" s="6" t="n">
        <f aca="false">Q37</f>
        <v>196.758885759575</v>
      </c>
      <c r="W37" s="2" t="n">
        <f aca="false">J37</f>
        <v>46.5479913875009</v>
      </c>
    </row>
    <row r="38" customFormat="false" ht="12.8" hidden="false" customHeight="false" outlineLevel="0" collapsed="false">
      <c r="A38" s="6" t="s">
        <v>5</v>
      </c>
      <c r="B38" s="1" t="n">
        <v>36</v>
      </c>
      <c r="C38" s="2" t="n">
        <v>351819.2</v>
      </c>
      <c r="D38" s="2" t="n">
        <v>5266431.11</v>
      </c>
      <c r="E38" s="2" t="n">
        <v>2150.8</v>
      </c>
      <c r="F38" s="6" t="n">
        <f aca="false">B37</f>
        <v>35</v>
      </c>
      <c r="G38" s="7" t="str">
        <f aca="false">_xlfn.CONCAT("DAV",B38)</f>
        <v>DAV36</v>
      </c>
      <c r="H38" s="6" t="n">
        <f aca="false">SQRT((C38-C37)^2+(D38-D37)^2+(E38-E37)^2)</f>
        <v>3.98308925292346</v>
      </c>
      <c r="I38" s="6" t="n">
        <f aca="false">MOD((2*180*(ATAN((C37-C38)/(D38-D37))*180/PI())/360), 360)</f>
        <v>348.775839584032</v>
      </c>
      <c r="J38" s="2" t="n">
        <f aca="false">ASIN((E38-E37)/H38)*180/PI()</f>
        <v>48.8669634715413</v>
      </c>
      <c r="L38" s="6" t="n">
        <f aca="false">C38-C37</f>
        <v>-0.510000000009313</v>
      </c>
      <c r="M38" s="6" t="n">
        <f aca="false">D38-D37</f>
        <v>-2.5699999993667</v>
      </c>
      <c r="N38" s="6" t="n">
        <f aca="false">(C38-C37)/(D38-D37)</f>
        <v>0.198443579819061</v>
      </c>
      <c r="O38" s="12" t="n">
        <f aca="false">ATAN((C38-C37)/(D38-D37))*180/PI()</f>
        <v>11.2241604159685</v>
      </c>
      <c r="P38" s="6" t="n">
        <f aca="false">IF(M38&lt;0,O38+180,IF(AND(M38&gt;0,L38&lt;0),O38+360,O38))</f>
        <v>191.224160415969</v>
      </c>
      <c r="Q38" s="6" t="n">
        <f aca="false">P38-1.437</f>
        <v>189.787160415969</v>
      </c>
      <c r="S38" s="6" t="n">
        <f aca="false">F38</f>
        <v>35</v>
      </c>
      <c r="T38" s="6" t="str">
        <f aca="false">G38</f>
        <v>DAV36</v>
      </c>
      <c r="U38" s="6" t="n">
        <f aca="false">H38</f>
        <v>3.98308925292346</v>
      </c>
      <c r="V38" s="6" t="n">
        <f aca="false">Q38</f>
        <v>189.787160415969</v>
      </c>
      <c r="W38" s="2" t="n">
        <f aca="false">J38</f>
        <v>48.8669634715413</v>
      </c>
    </row>
    <row r="39" customFormat="false" ht="12.8" hidden="false" customHeight="false" outlineLevel="0" collapsed="false">
      <c r="A39" s="6" t="s">
        <v>5</v>
      </c>
      <c r="B39" s="1" t="n">
        <v>37</v>
      </c>
      <c r="C39" s="2" t="n">
        <v>351818.85</v>
      </c>
      <c r="D39" s="2" t="n">
        <v>5266427.34</v>
      </c>
      <c r="E39" s="2" t="n">
        <v>2154.8</v>
      </c>
      <c r="F39" s="6" t="n">
        <f aca="false">B38</f>
        <v>36</v>
      </c>
      <c r="G39" s="7" t="str">
        <f aca="false">_xlfn.CONCAT("DAV",B39)</f>
        <v>DAV37</v>
      </c>
      <c r="H39" s="6" t="n">
        <f aca="false">SQRT((C39-C38)^2+(D39-D38)^2+(E39-E38)^2)</f>
        <v>5.50775816495931</v>
      </c>
      <c r="I39" s="6" t="n">
        <f aca="false">MOD((2*180*(ATAN((C38-C39)/(D39-D38))*180/PI())/360), 360)</f>
        <v>354.695966674198</v>
      </c>
      <c r="J39" s="2" t="n">
        <f aca="false">ASIN((E39-E38)/H39)*180/PI()</f>
        <v>46.572790906182</v>
      </c>
      <c r="L39" s="6" t="n">
        <f aca="false">C39-C38</f>
        <v>-0.350000000034925</v>
      </c>
      <c r="M39" s="6" t="n">
        <f aca="false">D39-D38</f>
        <v>-3.77000000048429</v>
      </c>
      <c r="N39" s="6" t="n">
        <f aca="false">(C39-C38)/(D39-D38)</f>
        <v>0.0928381962838101</v>
      </c>
      <c r="O39" s="12" t="n">
        <f aca="false">ATAN((C39-C38)/(D39-D38))*180/PI()</f>
        <v>5.3040333258017</v>
      </c>
      <c r="P39" s="6" t="n">
        <f aca="false">IF(M39&lt;0,O39+180,IF(AND(M39&gt;0,L39&lt;0),O39+360,O39))</f>
        <v>185.304033325802</v>
      </c>
      <c r="Q39" s="6" t="n">
        <f aca="false">P39-1.437</f>
        <v>183.867033325802</v>
      </c>
      <c r="S39" s="6" t="n">
        <f aca="false">F39</f>
        <v>36</v>
      </c>
      <c r="T39" s="6" t="str">
        <f aca="false">G39</f>
        <v>DAV37</v>
      </c>
      <c r="U39" s="6" t="n">
        <f aca="false">H39</f>
        <v>5.50775816495931</v>
      </c>
      <c r="V39" s="6" t="n">
        <f aca="false">Q39</f>
        <v>183.867033325802</v>
      </c>
      <c r="W39" s="2" t="n">
        <f aca="false">J39</f>
        <v>46.572790906182</v>
      </c>
    </row>
    <row r="40" customFormat="false" ht="12.8" hidden="false" customHeight="false" outlineLevel="0" collapsed="false">
      <c r="A40" s="6" t="s">
        <v>5</v>
      </c>
      <c r="B40" s="1" t="n">
        <v>38</v>
      </c>
      <c r="C40" s="2" t="n">
        <v>351818.69</v>
      </c>
      <c r="D40" s="2" t="n">
        <v>5266422.98</v>
      </c>
      <c r="E40" s="2" t="n">
        <v>2158.2</v>
      </c>
      <c r="F40" s="6" t="n">
        <f aca="false">B39</f>
        <v>37</v>
      </c>
      <c r="G40" s="7" t="str">
        <f aca="false">_xlfn.CONCAT("DAV",B40)</f>
        <v>DAV38</v>
      </c>
      <c r="H40" s="6" t="n">
        <f aca="false">SQRT((C40-C39)^2+(D40-D39)^2+(E40-E39)^2)</f>
        <v>5.53129279597381</v>
      </c>
      <c r="I40" s="6" t="n">
        <f aca="false">MOD((2*180*(ATAN((C39-C40)/(D40-D39))*180/PI())/360), 360)</f>
        <v>357.898345672378</v>
      </c>
      <c r="J40" s="2" t="n">
        <f aca="false">ASIN((E40-E39)/H40)*180/PI()</f>
        <v>37.9289997750535</v>
      </c>
      <c r="L40" s="6" t="n">
        <f aca="false">C40-C39</f>
        <v>-0.159999999974389</v>
      </c>
      <c r="M40" s="6" t="n">
        <f aca="false">D40-D39</f>
        <v>-4.35999999940395</v>
      </c>
      <c r="N40" s="6" t="n">
        <f aca="false">(C40-C39)/(D40-D39)</f>
        <v>0.0366972477055647</v>
      </c>
      <c r="O40" s="12" t="n">
        <f aca="false">ATAN((C40-C39)/(D40-D39))*180/PI()</f>
        <v>2.10165432762224</v>
      </c>
      <c r="P40" s="6" t="n">
        <f aca="false">IF(M40&lt;0,O40+180,IF(AND(M40&gt;0,L40&lt;0),O40+360,O40))</f>
        <v>182.101654327622</v>
      </c>
      <c r="Q40" s="6" t="n">
        <f aca="false">P40-1.437</f>
        <v>180.664654327622</v>
      </c>
      <c r="S40" s="6" t="n">
        <f aca="false">F40</f>
        <v>37</v>
      </c>
      <c r="T40" s="6" t="str">
        <f aca="false">G40</f>
        <v>DAV38</v>
      </c>
      <c r="U40" s="6" t="n">
        <f aca="false">H40</f>
        <v>5.53129279597381</v>
      </c>
      <c r="V40" s="6" t="n">
        <f aca="false">Q40</f>
        <v>180.664654327622</v>
      </c>
      <c r="W40" s="2" t="n">
        <f aca="false">J40</f>
        <v>37.9289997750535</v>
      </c>
    </row>
    <row r="41" customFormat="false" ht="12.8" hidden="false" customHeight="false" outlineLevel="0" collapsed="false">
      <c r="A41" s="6" t="s">
        <v>5</v>
      </c>
      <c r="B41" s="1" t="n">
        <v>39</v>
      </c>
      <c r="C41" s="2" t="n">
        <v>351818.2</v>
      </c>
      <c r="D41" s="2" t="n">
        <v>5266421.67</v>
      </c>
      <c r="E41" s="2" t="n">
        <v>2158.9</v>
      </c>
      <c r="F41" s="6" t="n">
        <f aca="false">B40</f>
        <v>38</v>
      </c>
      <c r="G41" s="7" t="str">
        <f aca="false">_xlfn.CONCAT("DAV",B41)</f>
        <v>DAV39</v>
      </c>
      <c r="H41" s="6" t="n">
        <f aca="false">SQRT((C41-C40)^2+(D41-D40)^2+(E41-E40)^2)</f>
        <v>1.56403324816248</v>
      </c>
      <c r="I41" s="6" t="n">
        <f aca="false">MOD((2*180*(ATAN((C40-C41)/(D41-D40))*180/PI())/360), 360)</f>
        <v>339.491901036074</v>
      </c>
      <c r="J41" s="2" t="n">
        <f aca="false">ASIN((E41-E40)/H41)*180/PI()</f>
        <v>26.587295937025</v>
      </c>
      <c r="L41" s="6" t="n">
        <f aca="false">C41-C40</f>
        <v>-0.489999999990687</v>
      </c>
      <c r="M41" s="6" t="n">
        <f aca="false">D41-D40</f>
        <v>-1.31000000052154</v>
      </c>
      <c r="N41" s="6" t="n">
        <f aca="false">(C41-C40)/(D41-D40)</f>
        <v>0.374045801370692</v>
      </c>
      <c r="O41" s="12" t="n">
        <f aca="false">ATAN((C41-C40)/(D41-D40))*180/PI()</f>
        <v>20.5080989639261</v>
      </c>
      <c r="P41" s="6" t="n">
        <f aca="false">IF(M41&lt;0,O41+180,IF(AND(M41&gt;0,L41&lt;0),O41+360,O41))</f>
        <v>200.508098963926</v>
      </c>
      <c r="Q41" s="6" t="n">
        <f aca="false">P41-1.437</f>
        <v>199.071098963926</v>
      </c>
      <c r="S41" s="6" t="n">
        <f aca="false">F41</f>
        <v>38</v>
      </c>
      <c r="T41" s="6" t="str">
        <f aca="false">G41</f>
        <v>DAV39</v>
      </c>
      <c r="U41" s="6" t="n">
        <f aca="false">H41</f>
        <v>1.56403324816248</v>
      </c>
      <c r="V41" s="6" t="n">
        <f aca="false">Q41</f>
        <v>199.071098963926</v>
      </c>
      <c r="W41" s="2" t="n">
        <f aca="false">J41</f>
        <v>26.587295937025</v>
      </c>
    </row>
    <row r="42" customFormat="false" ht="12.8" hidden="false" customHeight="false" outlineLevel="0" collapsed="false">
      <c r="A42" s="6" t="s">
        <v>5</v>
      </c>
      <c r="B42" s="1" t="n">
        <v>40</v>
      </c>
      <c r="C42" s="2" t="n">
        <v>351815.73</v>
      </c>
      <c r="D42" s="2" t="n">
        <v>5266417.69</v>
      </c>
      <c r="E42" s="2" t="n">
        <v>2160.8</v>
      </c>
      <c r="F42" s="6" t="n">
        <f aca="false">B41</f>
        <v>39</v>
      </c>
      <c r="G42" s="7" t="str">
        <f aca="false">_xlfn.CONCAT("DAV",B42)</f>
        <v>DAV40</v>
      </c>
      <c r="H42" s="6" t="n">
        <f aca="false">SQRT((C42-C41)^2+(D42-D41)^2+(E42-E41)^2)</f>
        <v>5.05482937360847</v>
      </c>
      <c r="I42" s="6" t="n">
        <f aca="false">MOD((2*180*(ATAN((C41-C42)/(D42-D41))*180/PI())/360), 360)</f>
        <v>328.176137093859</v>
      </c>
      <c r="J42" s="2" t="n">
        <f aca="false">ASIN((E42-E41)/H42)*180/PI()</f>
        <v>22.0785993244083</v>
      </c>
      <c r="L42" s="6" t="n">
        <f aca="false">C42-C41</f>
        <v>-2.47000000003027</v>
      </c>
      <c r="M42" s="6" t="n">
        <f aca="false">D42-D41</f>
        <v>-3.97999999951571</v>
      </c>
      <c r="N42" s="6" t="n">
        <f aca="false">(C42-C41)/(D42-D41)</f>
        <v>0.620603015158497</v>
      </c>
      <c r="O42" s="12" t="n">
        <f aca="false">ATAN((C42-C41)/(D42-D41))*180/PI()</f>
        <v>31.823862906141</v>
      </c>
      <c r="P42" s="6" t="n">
        <f aca="false">IF(M42&lt;0,O42+180,IF(AND(M42&gt;0,L42&lt;0),O42+360,O42))</f>
        <v>211.823862906141</v>
      </c>
      <c r="Q42" s="6" t="n">
        <f aca="false">P42-1.437</f>
        <v>210.386862906141</v>
      </c>
      <c r="S42" s="6" t="n">
        <f aca="false">F42</f>
        <v>39</v>
      </c>
      <c r="T42" s="6" t="str">
        <f aca="false">G42</f>
        <v>DAV40</v>
      </c>
      <c r="U42" s="6" t="n">
        <f aca="false">H42</f>
        <v>5.05482937360847</v>
      </c>
      <c r="V42" s="6" t="n">
        <f aca="false">Q42</f>
        <v>210.386862906141</v>
      </c>
      <c r="W42" s="2" t="n">
        <f aca="false">J42</f>
        <v>22.0785993244083</v>
      </c>
    </row>
    <row r="43" customFormat="false" ht="12.8" hidden="false" customHeight="false" outlineLevel="0" collapsed="false">
      <c r="A43" s="6" t="s">
        <v>5</v>
      </c>
      <c r="B43" s="1" t="n">
        <v>41</v>
      </c>
      <c r="C43" s="2" t="n">
        <v>351814.49</v>
      </c>
      <c r="D43" s="2" t="n">
        <v>5266415.13</v>
      </c>
      <c r="E43" s="2" t="n">
        <v>2162.6</v>
      </c>
      <c r="F43" s="6" t="n">
        <f aca="false">B42</f>
        <v>40</v>
      </c>
      <c r="G43" s="7" t="str">
        <f aca="false">_xlfn.CONCAT("DAV",B43)</f>
        <v>DAV41</v>
      </c>
      <c r="H43" s="6" t="n">
        <f aca="false">SQRT((C43-C42)^2+(D43-D42)^2+(E43-E42)^2)</f>
        <v>3.36618478438814</v>
      </c>
      <c r="I43" s="6" t="n">
        <f aca="false">MOD((2*180*(ATAN((C42-C43)/(D43-D42))*180/PI())/360), 360)</f>
        <v>334.155612450188</v>
      </c>
      <c r="J43" s="2" t="n">
        <f aca="false">ASIN((E43-E42)/H43)*180/PI()</f>
        <v>32.3256027386892</v>
      </c>
      <c r="L43" s="6" t="n">
        <f aca="false">C43-C42</f>
        <v>-1.23999999999069</v>
      </c>
      <c r="M43" s="6" t="n">
        <f aca="false">D43-D42</f>
        <v>-2.56000000052154</v>
      </c>
      <c r="N43" s="6" t="n">
        <f aca="false">(C43-C42)/(D43-D42)</f>
        <v>0.484374999897682</v>
      </c>
      <c r="O43" s="12" t="n">
        <f aca="false">ATAN((C43-C42)/(D43-D42))*180/PI()</f>
        <v>25.844387549812</v>
      </c>
      <c r="P43" s="6" t="n">
        <f aca="false">IF(M43&lt;0,O43+180,IF(AND(M43&gt;0,L43&lt;0),O43+360,O43))</f>
        <v>205.844387549812</v>
      </c>
      <c r="Q43" s="6" t="n">
        <f aca="false">P43-1.437</f>
        <v>204.407387549812</v>
      </c>
      <c r="S43" s="6" t="n">
        <f aca="false">F43</f>
        <v>40</v>
      </c>
      <c r="T43" s="6" t="str">
        <f aca="false">G43</f>
        <v>DAV41</v>
      </c>
      <c r="U43" s="6" t="n">
        <f aca="false">H43</f>
        <v>3.36618478438814</v>
      </c>
      <c r="V43" s="6" t="n">
        <f aca="false">Q43</f>
        <v>204.407387549812</v>
      </c>
      <c r="W43" s="2" t="n">
        <f aca="false">J43</f>
        <v>32.3256027386892</v>
      </c>
    </row>
    <row r="44" customFormat="false" ht="12.8" hidden="false" customHeight="false" outlineLevel="0" collapsed="false">
      <c r="A44" s="6" t="s">
        <v>5</v>
      </c>
      <c r="B44" s="1" t="n">
        <v>42</v>
      </c>
      <c r="C44" s="2" t="n">
        <v>351812.58</v>
      </c>
      <c r="D44" s="2" t="n">
        <v>5266409.68</v>
      </c>
      <c r="E44" s="2" t="n">
        <v>2168.4</v>
      </c>
      <c r="F44" s="6" t="n">
        <f aca="false">B43</f>
        <v>41</v>
      </c>
      <c r="G44" s="7" t="str">
        <f aca="false">_xlfn.CONCAT("DAV",B44)</f>
        <v>DAV42</v>
      </c>
      <c r="H44" s="6" t="n">
        <f aca="false">SQRT((C44-C43)^2+(D44-D43)^2+(E44-E43)^2)</f>
        <v>8.18477855546102</v>
      </c>
      <c r="I44" s="6" t="n">
        <f aca="false">MOD((2*180*(ATAN((C43-C44)/(D44-D43))*180/PI())/360), 360)</f>
        <v>340.686542906315</v>
      </c>
      <c r="J44" s="2" t="n">
        <f aca="false">ASIN((E44-E43)/H44)*180/PI()</f>
        <v>45.1237595278699</v>
      </c>
      <c r="L44" s="6" t="n">
        <f aca="false">C44-C43</f>
        <v>-1.90999999997439</v>
      </c>
      <c r="M44" s="6" t="n">
        <f aca="false">D44-D43</f>
        <v>-5.45000000018626</v>
      </c>
      <c r="N44" s="6" t="n">
        <f aca="false">(C44-C43)/(D44-D43)</f>
        <v>0.350458715579653</v>
      </c>
      <c r="O44" s="12" t="n">
        <f aca="false">ATAN((C44-C43)/(D44-D43))*180/PI()</f>
        <v>19.3134570936849</v>
      </c>
      <c r="P44" s="6" t="n">
        <f aca="false">IF(M44&lt;0,O44+180,IF(AND(M44&gt;0,L44&lt;0),O44+360,O44))</f>
        <v>199.313457093685</v>
      </c>
      <c r="Q44" s="6" t="n">
        <f aca="false">P44-1.437</f>
        <v>197.876457093685</v>
      </c>
      <c r="S44" s="6" t="n">
        <f aca="false">F44</f>
        <v>41</v>
      </c>
      <c r="T44" s="6" t="str">
        <f aca="false">G44</f>
        <v>DAV42</v>
      </c>
      <c r="U44" s="6" t="n">
        <f aca="false">H44</f>
        <v>8.18477855546102</v>
      </c>
      <c r="V44" s="6" t="n">
        <f aca="false">Q44</f>
        <v>197.876457093685</v>
      </c>
      <c r="W44" s="2" t="n">
        <f aca="false">J44</f>
        <v>45.1237595278699</v>
      </c>
    </row>
    <row r="45" customFormat="false" ht="12.8" hidden="false" customHeight="false" outlineLevel="0" collapsed="false">
      <c r="A45" s="6" t="s">
        <v>5</v>
      </c>
      <c r="B45" s="1" t="n">
        <v>43</v>
      </c>
      <c r="C45" s="2" t="n">
        <v>351811.71</v>
      </c>
      <c r="D45" s="2" t="n">
        <v>5266405.8</v>
      </c>
      <c r="E45" s="2" t="n">
        <v>2172</v>
      </c>
      <c r="F45" s="6" t="n">
        <f aca="false">B44</f>
        <v>42</v>
      </c>
      <c r="G45" s="7" t="str">
        <f aca="false">_xlfn.CONCAT("DAV",B45)</f>
        <v>DAV43</v>
      </c>
      <c r="H45" s="6" t="n">
        <f aca="false">SQRT((C45-C44)^2+(D45-D44)^2+(E45-E44)^2)</f>
        <v>5.3638885147926</v>
      </c>
      <c r="I45" s="6" t="n">
        <f aca="false">MOD((2*180*(ATAN((C44-C45)/(D45-D44))*180/PI())/360), 360)</f>
        <v>347.361789680315</v>
      </c>
      <c r="J45" s="2" t="n">
        <f aca="false">ASIN((E45-E44)/H45)*180/PI()</f>
        <v>42.1562623683725</v>
      </c>
      <c r="L45" s="6" t="n">
        <f aca="false">C45-C44</f>
        <v>-0.869999999995343</v>
      </c>
      <c r="M45" s="6" t="n">
        <f aca="false">D45-D44</f>
        <v>-3.87999999988824</v>
      </c>
      <c r="N45" s="6" t="n">
        <f aca="false">(C45-C44)/(D45-D44)</f>
        <v>0.22422680412897</v>
      </c>
      <c r="O45" s="12" t="n">
        <f aca="false">ATAN((C45-C44)/(D45-D44))*180/PI()</f>
        <v>12.6382103196851</v>
      </c>
      <c r="P45" s="6" t="n">
        <f aca="false">IF(M45&lt;0,O45+180,IF(AND(M45&gt;0,L45&lt;0),O45+360,O45))</f>
        <v>192.638210319685</v>
      </c>
      <c r="Q45" s="6" t="n">
        <f aca="false">P45-1.437</f>
        <v>191.201210319685</v>
      </c>
      <c r="S45" s="6" t="n">
        <f aca="false">F45</f>
        <v>42</v>
      </c>
      <c r="T45" s="6" t="str">
        <f aca="false">G45</f>
        <v>DAV43</v>
      </c>
      <c r="U45" s="6" t="n">
        <f aca="false">H45</f>
        <v>5.3638885147926</v>
      </c>
      <c r="V45" s="6" t="n">
        <f aca="false">Q45</f>
        <v>191.201210319685</v>
      </c>
      <c r="W45" s="2" t="n">
        <f aca="false">J45</f>
        <v>42.1562623683725</v>
      </c>
    </row>
    <row r="46" customFormat="false" ht="12.8" hidden="false" customHeight="false" outlineLevel="0" collapsed="false">
      <c r="A46" s="6" t="s">
        <v>5</v>
      </c>
      <c r="B46" s="1" t="n">
        <v>44</v>
      </c>
      <c r="C46" s="2" t="n">
        <v>351810.68</v>
      </c>
      <c r="D46" s="2" t="n">
        <v>5266394.91</v>
      </c>
      <c r="E46" s="2" t="n">
        <v>2182.3</v>
      </c>
      <c r="F46" s="6" t="n">
        <f aca="false">B45</f>
        <v>43</v>
      </c>
      <c r="G46" s="7" t="str">
        <f aca="false">_xlfn.CONCAT("DAV",B46)</f>
        <v>DAV44</v>
      </c>
      <c r="H46" s="6" t="n">
        <f aca="false">SQRT((C46-C45)^2+(D46-D45)^2+(E46-E45)^2)</f>
        <v>15.024746253856</v>
      </c>
      <c r="I46" s="6" t="n">
        <f aca="false">MOD((2*180*(ATAN((C45-C46)/(D46-D45))*180/PI())/360), 360)</f>
        <v>354.596913323901</v>
      </c>
      <c r="J46" s="2" t="n">
        <f aca="false">ASIN((E46-E45)/H46)*180/PI()</f>
        <v>43.2777518042931</v>
      </c>
      <c r="L46" s="6" t="n">
        <f aca="false">C46-C45</f>
        <v>-1.03000000002794</v>
      </c>
      <c r="M46" s="6" t="n">
        <f aca="false">D46-D45</f>
        <v>-10.8899999996647</v>
      </c>
      <c r="N46" s="6" t="n">
        <f aca="false">(C46-C45)/(D46-D45)</f>
        <v>0.094582185496754</v>
      </c>
      <c r="O46" s="12" t="n">
        <f aca="false">ATAN((C46-C45)/(D46-D45))*180/PI()</f>
        <v>5.40308667609929</v>
      </c>
      <c r="P46" s="6" t="n">
        <f aca="false">IF(M46&lt;0,O46+180,IF(AND(M46&gt;0,L46&lt;0),O46+360,O46))</f>
        <v>185.403086676099</v>
      </c>
      <c r="Q46" s="6" t="n">
        <f aca="false">P46-1.437</f>
        <v>183.966086676099</v>
      </c>
      <c r="S46" s="6" t="n">
        <f aca="false">F46</f>
        <v>43</v>
      </c>
      <c r="T46" s="6" t="str">
        <f aca="false">G46</f>
        <v>DAV44</v>
      </c>
      <c r="U46" s="6" t="n">
        <f aca="false">H46</f>
        <v>15.024746253856</v>
      </c>
      <c r="V46" s="6" t="n">
        <f aca="false">Q46</f>
        <v>183.966086676099</v>
      </c>
      <c r="W46" s="2" t="n">
        <f aca="false">J46</f>
        <v>43.2777518042931</v>
      </c>
    </row>
    <row r="47" customFormat="false" ht="12.8" hidden="false" customHeight="false" outlineLevel="0" collapsed="false">
      <c r="A47" s="6" t="s">
        <v>5</v>
      </c>
      <c r="B47" s="1" t="n">
        <v>45</v>
      </c>
      <c r="C47" s="2" t="n">
        <v>351809.92</v>
      </c>
      <c r="D47" s="2" t="n">
        <v>5266390.36</v>
      </c>
      <c r="E47" s="2" t="n">
        <v>2184.7</v>
      </c>
      <c r="F47" s="6" t="n">
        <f aca="false">B46</f>
        <v>44</v>
      </c>
      <c r="G47" s="7" t="str">
        <f aca="false">_xlfn.CONCAT("DAV",B47)</f>
        <v>DAV45</v>
      </c>
      <c r="H47" s="6" t="n">
        <f aca="false">SQRT((C47-C46)^2+(D47-D46)^2+(E47-E46)^2)</f>
        <v>5.20000961521394</v>
      </c>
      <c r="I47" s="6" t="n">
        <f aca="false">MOD((2*180*(ATAN((C46-C47)/(D47-D46))*180/PI())/360), 360)</f>
        <v>350.517258768996</v>
      </c>
      <c r="J47" s="2" t="n">
        <f aca="false">ASIN((E47-E46)/H47)*180/PI()</f>
        <v>27.4863711311954</v>
      </c>
      <c r="L47" s="6" t="n">
        <f aca="false">C47-C46</f>
        <v>-0.760000000009313</v>
      </c>
      <c r="M47" s="6" t="n">
        <f aca="false">D47-D46</f>
        <v>-4.54999999981374</v>
      </c>
      <c r="N47" s="6" t="n">
        <f aca="false">(C47-C46)/(D47-D46)</f>
        <v>0.167032967041852</v>
      </c>
      <c r="O47" s="12" t="n">
        <f aca="false">ATAN((C47-C46)/(D47-D46))*180/PI()</f>
        <v>9.48274123100391</v>
      </c>
      <c r="P47" s="6" t="n">
        <f aca="false">IF(M47&lt;0,O47+180,IF(AND(M47&gt;0,L47&lt;0),O47+360,O47))</f>
        <v>189.482741231004</v>
      </c>
      <c r="Q47" s="6" t="n">
        <f aca="false">P47-1.437</f>
        <v>188.045741231004</v>
      </c>
      <c r="S47" s="6" t="n">
        <f aca="false">F47</f>
        <v>44</v>
      </c>
      <c r="T47" s="6" t="str">
        <f aca="false">G47</f>
        <v>DAV45</v>
      </c>
      <c r="U47" s="6" t="n">
        <f aca="false">H47</f>
        <v>5.20000961521394</v>
      </c>
      <c r="V47" s="6" t="n">
        <f aca="false">Q47</f>
        <v>188.045741231004</v>
      </c>
      <c r="W47" s="2" t="n">
        <f aca="false">J47</f>
        <v>27.4863711311954</v>
      </c>
    </row>
    <row r="48" customFormat="false" ht="12.8" hidden="false" customHeight="false" outlineLevel="0" collapsed="false">
      <c r="A48" s="6" t="s">
        <v>5</v>
      </c>
      <c r="B48" s="1" t="n">
        <v>46</v>
      </c>
      <c r="C48" s="2" t="n">
        <v>351809.38</v>
      </c>
      <c r="D48" s="2" t="n">
        <v>5266383.49</v>
      </c>
      <c r="E48" s="2" t="n">
        <v>2189.9</v>
      </c>
      <c r="F48" s="6" t="n">
        <f aca="false">B47</f>
        <v>45</v>
      </c>
      <c r="G48" s="7" t="str">
        <f aca="false">_xlfn.CONCAT("DAV",B48)</f>
        <v>DAV46</v>
      </c>
      <c r="H48" s="6" t="n">
        <f aca="false">SQRT((C48-C47)^2+(D48-D47)^2+(E48-E47)^2)</f>
        <v>8.63298905371227</v>
      </c>
      <c r="I48" s="6" t="n">
        <f aca="false">MOD((2*180*(ATAN((C47-C48)/(D48-D47))*180/PI())/360), 360)</f>
        <v>355.505642347615</v>
      </c>
      <c r="J48" s="2" t="n">
        <f aca="false">ASIN((E48-E47)/H48)*180/PI()</f>
        <v>37.0377169471259</v>
      </c>
      <c r="L48" s="6" t="n">
        <f aca="false">C48-C47</f>
        <v>-0.539999999979045</v>
      </c>
      <c r="M48" s="6" t="n">
        <f aca="false">D48-D47</f>
        <v>-6.87000000011176</v>
      </c>
      <c r="N48" s="6" t="n">
        <f aca="false">(C48-C47)/(D48-D47)</f>
        <v>0.0786026200830074</v>
      </c>
      <c r="O48" s="12" t="n">
        <f aca="false">ATAN((C48-C47)/(D48-D47))*180/PI()</f>
        <v>4.49435765238549</v>
      </c>
      <c r="P48" s="6" t="n">
        <f aca="false">IF(M48&lt;0,O48+180,IF(AND(M48&gt;0,L48&lt;0),O48+360,O48))</f>
        <v>184.494357652386</v>
      </c>
      <c r="Q48" s="6" t="n">
        <f aca="false">P48-1.437</f>
        <v>183.057357652386</v>
      </c>
      <c r="S48" s="6" t="n">
        <f aca="false">F48</f>
        <v>45</v>
      </c>
      <c r="T48" s="6" t="str">
        <f aca="false">G48</f>
        <v>DAV46</v>
      </c>
      <c r="U48" s="6" t="n">
        <f aca="false">H48</f>
        <v>8.63298905371227</v>
      </c>
      <c r="V48" s="6" t="n">
        <f aca="false">Q48</f>
        <v>183.057357652386</v>
      </c>
      <c r="W48" s="2" t="n">
        <f aca="false">J48</f>
        <v>37.0377169471259</v>
      </c>
    </row>
    <row r="49" customFormat="false" ht="12.8" hidden="false" customHeight="false" outlineLevel="0" collapsed="false">
      <c r="A49" s="6" t="s">
        <v>5</v>
      </c>
      <c r="B49" s="1" t="n">
        <v>47</v>
      </c>
      <c r="C49" s="2" t="n">
        <v>351809.32</v>
      </c>
      <c r="D49" s="2" t="n">
        <v>5266381.11</v>
      </c>
      <c r="E49" s="2" t="n">
        <v>2192</v>
      </c>
      <c r="F49" s="6" t="n">
        <f aca="false">B48</f>
        <v>46</v>
      </c>
      <c r="G49" s="7" t="str">
        <f aca="false">_xlfn.CONCAT("DAV",B49)</f>
        <v>DAV47</v>
      </c>
      <c r="H49" s="6" t="n">
        <f aca="false">SQRT((C49-C48)^2+(D49-D48)^2+(E49-E48)^2)</f>
        <v>3.17458658717436</v>
      </c>
      <c r="I49" s="6" t="n">
        <f aca="false">MOD((2*180*(ATAN((C48-C49)/(D49-D48))*180/PI())/360), 360)</f>
        <v>358.555874469052</v>
      </c>
      <c r="J49" s="2" t="n">
        <f aca="false">ASIN((E49-E48)/H49)*180/PI()</f>
        <v>41.4146359596905</v>
      </c>
      <c r="L49" s="6" t="n">
        <f aca="false">C49-C48</f>
        <v>-0.0599999999976717</v>
      </c>
      <c r="M49" s="6" t="n">
        <f aca="false">D49-D48</f>
        <v>-2.37999999988824</v>
      </c>
      <c r="N49" s="6" t="n">
        <f aca="false">(C49-C48)/(D49-D48)</f>
        <v>0.025210084033819</v>
      </c>
      <c r="O49" s="12" t="n">
        <f aca="false">ATAN((C49-C48)/(D49-D48))*180/PI()</f>
        <v>1.44412553094761</v>
      </c>
      <c r="P49" s="6" t="n">
        <f aca="false">IF(M49&lt;0,O49+180,IF(AND(M49&gt;0,L49&lt;0),O49+360,O49))</f>
        <v>181.444125530948</v>
      </c>
      <c r="Q49" s="6" t="n">
        <f aca="false">P49-1.437</f>
        <v>180.007125530948</v>
      </c>
      <c r="S49" s="6" t="n">
        <f aca="false">F49</f>
        <v>46</v>
      </c>
      <c r="T49" s="6" t="str">
        <f aca="false">G49</f>
        <v>DAV47</v>
      </c>
      <c r="U49" s="6" t="n">
        <f aca="false">H49</f>
        <v>3.17458658717436</v>
      </c>
      <c r="V49" s="6" t="n">
        <f aca="false">Q49</f>
        <v>180.007125530948</v>
      </c>
      <c r="W49" s="2" t="n">
        <f aca="false">J49</f>
        <v>41.4146359596905</v>
      </c>
    </row>
    <row r="50" customFormat="false" ht="12.8" hidden="false" customHeight="false" outlineLevel="0" collapsed="false">
      <c r="A50" s="6" t="s">
        <v>5</v>
      </c>
      <c r="B50" s="1" t="n">
        <v>48</v>
      </c>
      <c r="C50" s="2" t="n">
        <v>351810.11</v>
      </c>
      <c r="D50" s="2" t="n">
        <v>5266377.65</v>
      </c>
      <c r="E50" s="2" t="n">
        <v>2194.4</v>
      </c>
      <c r="F50" s="6" t="n">
        <f aca="false">B49</f>
        <v>47</v>
      </c>
      <c r="G50" s="7" t="str">
        <f aca="false">_xlfn.CONCAT("DAV",B50)</f>
        <v>DAV48</v>
      </c>
      <c r="H50" s="6" t="n">
        <f aca="false">SQRT((C50-C49)^2+(D50-D49)^2+(E50-E49)^2)</f>
        <v>4.2843552606792</v>
      </c>
      <c r="I50" s="6" t="n">
        <f aca="false">MOD((2*180*(ATAN((C49-C50)/(D50-D49))*180/PI())/360), 360)</f>
        <v>12.861511735577</v>
      </c>
      <c r="J50" s="2" t="n">
        <f aca="false">ASIN((E50-E49)/H50)*180/PI()</f>
        <v>34.0680833173618</v>
      </c>
      <c r="L50" s="6" t="n">
        <f aca="false">C50-C49</f>
        <v>0.789999999979045</v>
      </c>
      <c r="M50" s="6" t="n">
        <f aca="false">D50-D49</f>
        <v>-3.45999999996275</v>
      </c>
      <c r="N50" s="6" t="n">
        <f aca="false">(C50-C49)/(D50-D49)</f>
        <v>-0.228323699418367</v>
      </c>
      <c r="O50" s="12" t="n">
        <f aca="false">ATAN((C50-C49)/(D50-D49))*180/PI()</f>
        <v>-12.861511735577</v>
      </c>
      <c r="P50" s="6" t="n">
        <f aca="false">IF(M50&lt;0,O50+180,IF(AND(M50&gt;0,L50&lt;0),O50+360,O50))</f>
        <v>167.138488264423</v>
      </c>
      <c r="Q50" s="6" t="n">
        <f aca="false">P50-1.437</f>
        <v>165.701488264423</v>
      </c>
      <c r="S50" s="6" t="n">
        <f aca="false">F50</f>
        <v>47</v>
      </c>
      <c r="T50" s="6" t="str">
        <f aca="false">G50</f>
        <v>DAV48</v>
      </c>
      <c r="U50" s="6" t="n">
        <f aca="false">H50</f>
        <v>4.2843552606792</v>
      </c>
      <c r="V50" s="6" t="n">
        <f aca="false">Q50</f>
        <v>165.701488264423</v>
      </c>
      <c r="W50" s="2" t="n">
        <f aca="false">J50</f>
        <v>34.0680833173618</v>
      </c>
    </row>
    <row r="51" customFormat="false" ht="12.8" hidden="false" customHeight="false" outlineLevel="0" collapsed="false">
      <c r="A51" s="6" t="s">
        <v>5</v>
      </c>
      <c r="B51" s="1" t="n">
        <v>49</v>
      </c>
      <c r="C51" s="2" t="n">
        <v>351811.25</v>
      </c>
      <c r="D51" s="2" t="n">
        <v>5266375.18</v>
      </c>
      <c r="E51" s="2" t="n">
        <v>2195.8</v>
      </c>
      <c r="F51" s="6" t="n">
        <f aca="false">B50</f>
        <v>48</v>
      </c>
      <c r="G51" s="7" t="str">
        <f aca="false">_xlfn.CONCAT("DAV",B51)</f>
        <v>DAV49</v>
      </c>
      <c r="H51" s="6" t="n">
        <f aca="false">SQRT((C51-C50)^2+(D51-D50)^2+(E51-E50)^2)</f>
        <v>3.05949342266733</v>
      </c>
      <c r="I51" s="6" t="n">
        <f aca="false">MOD((2*180*(ATAN((C50-C51)/(D51-D50))*180/PI())/360), 360)</f>
        <v>24.7751405631807</v>
      </c>
      <c r="J51" s="2" t="n">
        <f aca="false">ASIN((E51-E50)/H51)*180/PI()</f>
        <v>27.2318385080112</v>
      </c>
      <c r="L51" s="6" t="n">
        <f aca="false">C51-C50</f>
        <v>1.14000000001397</v>
      </c>
      <c r="M51" s="6" t="n">
        <f aca="false">D51-D50</f>
        <v>-2.47000000067055</v>
      </c>
      <c r="N51" s="6" t="n">
        <f aca="false">(C51-C50)/(D51-D50)</f>
        <v>-0.46153846141882</v>
      </c>
      <c r="O51" s="12" t="n">
        <f aca="false">ATAN((C51-C50)/(D51-D50))*180/PI()</f>
        <v>-24.7751405631807</v>
      </c>
      <c r="P51" s="6" t="n">
        <f aca="false">IF(M51&lt;0,O51+180,IF(AND(M51&gt;0,L51&lt;0),O51+360,O51))</f>
        <v>155.224859436819</v>
      </c>
      <c r="Q51" s="6" t="n">
        <f aca="false">P51-1.437</f>
        <v>153.787859436819</v>
      </c>
      <c r="S51" s="6" t="n">
        <f aca="false">F51</f>
        <v>48</v>
      </c>
      <c r="T51" s="6" t="str">
        <f aca="false">G51</f>
        <v>DAV49</v>
      </c>
      <c r="U51" s="6" t="n">
        <f aca="false">H51</f>
        <v>3.05949342266733</v>
      </c>
      <c r="V51" s="6" t="n">
        <f aca="false">Q51</f>
        <v>153.787859436819</v>
      </c>
      <c r="W51" s="2" t="n">
        <f aca="false">J51</f>
        <v>27.2318385080112</v>
      </c>
    </row>
    <row r="52" customFormat="false" ht="12.8" hidden="false" customHeight="false" outlineLevel="0" collapsed="false">
      <c r="A52" s="6" t="s">
        <v>5</v>
      </c>
      <c r="B52" s="1" t="n">
        <v>50</v>
      </c>
      <c r="C52" s="2" t="n">
        <v>351813.67</v>
      </c>
      <c r="D52" s="2" t="n">
        <v>5266371.16</v>
      </c>
      <c r="E52" s="2" t="n">
        <v>2198.5</v>
      </c>
      <c r="F52" s="6" t="n">
        <f aca="false">B51</f>
        <v>49</v>
      </c>
      <c r="G52" s="7" t="str">
        <f aca="false">_xlfn.CONCAT("DAV",B52)</f>
        <v>DAV50</v>
      </c>
      <c r="H52" s="6" t="n">
        <f aca="false">SQRT((C52-C51)^2+(D52-D51)^2+(E52-E51)^2)</f>
        <v>5.41357552790445</v>
      </c>
      <c r="I52" s="6" t="n">
        <f aca="false">MOD((2*180*(ATAN((C51-C52)/(D52-D51))*180/PI())/360), 360)</f>
        <v>31.0475222345599</v>
      </c>
      <c r="J52" s="2" t="n">
        <f aca="false">ASIN((E52-E51)/H52)*180/PI()</f>
        <v>29.9170811472448</v>
      </c>
      <c r="L52" s="6" t="n">
        <f aca="false">C52-C51</f>
        <v>2.4199999999837</v>
      </c>
      <c r="M52" s="6" t="n">
        <f aca="false">D52-D51</f>
        <v>-4.01999999955297</v>
      </c>
      <c r="N52" s="6" t="n">
        <f aca="false">(C52-C51)/(D52-D51)</f>
        <v>-0.601990049814132</v>
      </c>
      <c r="O52" s="12" t="n">
        <f aca="false">ATAN((C52-C51)/(D52-D51))*180/PI()</f>
        <v>-31.0475222345599</v>
      </c>
      <c r="P52" s="6" t="n">
        <f aca="false">IF(M52&lt;0,O52+180,IF(AND(M52&gt;0,L52&lt;0),O52+360,O52))</f>
        <v>148.95247776544</v>
      </c>
      <c r="Q52" s="6" t="n">
        <f aca="false">P52-1.437</f>
        <v>147.51547776544</v>
      </c>
      <c r="S52" s="6" t="n">
        <f aca="false">F52</f>
        <v>49</v>
      </c>
      <c r="T52" s="6" t="str">
        <f aca="false">G52</f>
        <v>DAV50</v>
      </c>
      <c r="U52" s="6" t="n">
        <f aca="false">H52</f>
        <v>5.41357552790445</v>
      </c>
      <c r="V52" s="6" t="n">
        <f aca="false">Q52</f>
        <v>147.51547776544</v>
      </c>
      <c r="W52" s="2" t="n">
        <f aca="false">J52</f>
        <v>29.9170811472448</v>
      </c>
    </row>
    <row r="53" customFormat="false" ht="12.8" hidden="false" customHeight="false" outlineLevel="0" collapsed="false">
      <c r="A53" s="6" t="s">
        <v>5</v>
      </c>
      <c r="B53" s="1" t="n">
        <v>51</v>
      </c>
      <c r="C53" s="2" t="n">
        <v>351813.78</v>
      </c>
      <c r="D53" s="2" t="n">
        <v>5266369.77</v>
      </c>
      <c r="E53" s="2" t="n">
        <v>2199.5</v>
      </c>
      <c r="F53" s="6" t="n">
        <f aca="false">B52</f>
        <v>50</v>
      </c>
      <c r="G53" s="7" t="str">
        <f aca="false">_xlfn.CONCAT("DAV",B53)</f>
        <v>DAV51</v>
      </c>
      <c r="H53" s="6" t="n">
        <f aca="false">SQRT((C53-C52)^2+(D53-D52)^2+(E53-E52)^2)</f>
        <v>1.71586712820857</v>
      </c>
      <c r="I53" s="6" t="n">
        <f aca="false">MOD((2*180*(ATAN((C52-C53)/(D53-D52))*180/PI())/360), 360)</f>
        <v>4.52476847271411</v>
      </c>
      <c r="J53" s="2" t="n">
        <f aca="false">ASIN((E53-E52)/H53)*180/PI()</f>
        <v>35.6474191403143</v>
      </c>
      <c r="L53" s="6" t="n">
        <f aca="false">C53-C52</f>
        <v>0.110000000044238</v>
      </c>
      <c r="M53" s="6" t="n">
        <f aca="false">D53-D52</f>
        <v>-1.39000000059605</v>
      </c>
      <c r="N53" s="6" t="n">
        <f aca="false">(C53-C52)/(D53-D52)</f>
        <v>-0.0791366906453732</v>
      </c>
      <c r="O53" s="12" t="n">
        <f aca="false">ATAN((C53-C52)/(D53-D52))*180/PI()</f>
        <v>-4.52476847271411</v>
      </c>
      <c r="P53" s="6" t="n">
        <f aca="false">IF(M53&lt;0,O53+180,IF(AND(M53&gt;0,L53&lt;0),O53+360,O53))</f>
        <v>175.475231527286</v>
      </c>
      <c r="Q53" s="6" t="n">
        <f aca="false">P53-1.437</f>
        <v>174.038231527286</v>
      </c>
      <c r="S53" s="6" t="n">
        <f aca="false">F53</f>
        <v>50</v>
      </c>
      <c r="T53" s="6" t="str">
        <f aca="false">G53</f>
        <v>DAV51</v>
      </c>
      <c r="U53" s="6" t="n">
        <f aca="false">H53</f>
        <v>1.71586712820857</v>
      </c>
      <c r="V53" s="6" t="n">
        <f aca="false">Q53</f>
        <v>174.038231527286</v>
      </c>
      <c r="W53" s="2" t="n">
        <f aca="false">J53</f>
        <v>35.6474191403143</v>
      </c>
    </row>
    <row r="54" customFormat="false" ht="12.8" hidden="false" customHeight="false" outlineLevel="0" collapsed="false">
      <c r="A54" s="6" t="s">
        <v>5</v>
      </c>
      <c r="B54" s="1" t="n">
        <v>52</v>
      </c>
      <c r="C54" s="2" t="n">
        <v>351813.37</v>
      </c>
      <c r="D54" s="2" t="n">
        <v>5266366.14</v>
      </c>
      <c r="E54" s="2" t="n">
        <v>2202.2</v>
      </c>
      <c r="F54" s="6" t="n">
        <f aca="false">B53</f>
        <v>51</v>
      </c>
      <c r="G54" s="7" t="str">
        <f aca="false">_xlfn.CONCAT("DAV",B54)</f>
        <v>DAV52</v>
      </c>
      <c r="H54" s="6" t="n">
        <f aca="false">SQRT((C54-C53)^2+(D54-D53)^2+(E54-E53)^2)</f>
        <v>4.54257636140708</v>
      </c>
      <c r="I54" s="6" t="n">
        <f aca="false">MOD((2*180*(ATAN((C53-C54)/(D54-D53))*180/PI())/360), 360)</f>
        <v>353.555886155413</v>
      </c>
      <c r="J54" s="2" t="n">
        <f aca="false">ASIN((E54-E53)/H54)*180/PI()</f>
        <v>36.4681869346861</v>
      </c>
      <c r="L54" s="6" t="n">
        <f aca="false">C54-C53</f>
        <v>-0.410000000032596</v>
      </c>
      <c r="M54" s="6" t="n">
        <f aca="false">D54-D53</f>
        <v>-3.62999999988824</v>
      </c>
      <c r="N54" s="6" t="n">
        <f aca="false">(C54-C53)/(D54-D53)</f>
        <v>0.112947658414661</v>
      </c>
      <c r="O54" s="12" t="n">
        <f aca="false">ATAN((C54-C53)/(D54-D53))*180/PI()</f>
        <v>6.44411384458751</v>
      </c>
      <c r="P54" s="6" t="n">
        <f aca="false">IF(M54&lt;0,O54+180,IF(AND(M54&gt;0,L54&lt;0),O54+360,O54))</f>
        <v>186.444113844588</v>
      </c>
      <c r="Q54" s="6" t="n">
        <f aca="false">P54-1.437</f>
        <v>185.007113844588</v>
      </c>
      <c r="S54" s="6" t="n">
        <f aca="false">F54</f>
        <v>51</v>
      </c>
      <c r="T54" s="6" t="str">
        <f aca="false">G54</f>
        <v>DAV52</v>
      </c>
      <c r="U54" s="6" t="n">
        <f aca="false">H54</f>
        <v>4.54257636140708</v>
      </c>
      <c r="V54" s="6" t="n">
        <f aca="false">Q54</f>
        <v>185.007113844588</v>
      </c>
      <c r="W54" s="2" t="n">
        <f aca="false">J54</f>
        <v>36.4681869346861</v>
      </c>
    </row>
    <row r="55" customFormat="false" ht="12.8" hidden="false" customHeight="false" outlineLevel="0" collapsed="false">
      <c r="A55" s="6" t="s">
        <v>5</v>
      </c>
      <c r="B55" s="1" t="n">
        <v>53</v>
      </c>
      <c r="C55" s="2" t="n">
        <v>351811.31</v>
      </c>
      <c r="D55" s="2" t="n">
        <v>5266356.59</v>
      </c>
      <c r="E55" s="2" t="n">
        <v>2207.8</v>
      </c>
      <c r="F55" s="6" t="n">
        <f aca="false">B54</f>
        <v>52</v>
      </c>
      <c r="G55" s="7" t="str">
        <f aca="false">_xlfn.CONCAT("DAV",B55)</f>
        <v>DAV53</v>
      </c>
      <c r="H55" s="6" t="n">
        <f aca="false">SQRT((C55-C54)^2+(D55-D54)^2+(E55-E54)^2)</f>
        <v>11.2608214618844</v>
      </c>
      <c r="I55" s="6" t="n">
        <f aca="false">MOD((2*180*(ATAN((C54-C55)/(D55-D54))*180/PI())/360), 360)</f>
        <v>347.827417705353</v>
      </c>
      <c r="J55" s="2" t="n">
        <f aca="false">ASIN((E55-E54)/H55)*180/PI()</f>
        <v>29.8214914318736</v>
      </c>
      <c r="L55" s="6" t="n">
        <f aca="false">C55-C54</f>
        <v>-2.05999999999767</v>
      </c>
      <c r="M55" s="6" t="n">
        <f aca="false">D55-D54</f>
        <v>-9.54999999981374</v>
      </c>
      <c r="N55" s="6" t="n">
        <f aca="false">(C55-C54)/(D55-D54)</f>
        <v>0.215706806286686</v>
      </c>
      <c r="O55" s="12" t="n">
        <f aca="false">ATAN((C55-C54)/(D55-D54))*180/PI()</f>
        <v>12.1725822946475</v>
      </c>
      <c r="P55" s="6" t="n">
        <f aca="false">IF(M55&lt;0,O55+180,IF(AND(M55&gt;0,L55&lt;0),O55+360,O55))</f>
        <v>192.172582294648</v>
      </c>
      <c r="Q55" s="6" t="n">
        <f aca="false">P55-1.437</f>
        <v>190.735582294648</v>
      </c>
      <c r="S55" s="6" t="n">
        <f aca="false">F55</f>
        <v>52</v>
      </c>
      <c r="T55" s="6" t="str">
        <f aca="false">G55</f>
        <v>DAV53</v>
      </c>
      <c r="U55" s="6" t="n">
        <f aca="false">H55</f>
        <v>11.2608214618844</v>
      </c>
      <c r="V55" s="6" t="n">
        <f aca="false">Q55</f>
        <v>190.735582294648</v>
      </c>
      <c r="W55" s="2" t="n">
        <f aca="false">J55</f>
        <v>29.8214914318736</v>
      </c>
    </row>
    <row r="56" customFormat="false" ht="12.8" hidden="false" customHeight="false" outlineLevel="0" collapsed="false">
      <c r="A56" s="6" t="s">
        <v>5</v>
      </c>
      <c r="B56" s="1" t="n">
        <v>54</v>
      </c>
      <c r="C56" s="2" t="n">
        <v>351805.72</v>
      </c>
      <c r="D56" s="2" t="n">
        <v>5266341.04</v>
      </c>
      <c r="E56" s="2" t="n">
        <v>2218.3</v>
      </c>
      <c r="F56" s="6" t="n">
        <f aca="false">B55</f>
        <v>53</v>
      </c>
      <c r="G56" s="7" t="str">
        <f aca="false">_xlfn.CONCAT("DAV",B56)</f>
        <v>DAV54</v>
      </c>
      <c r="H56" s="6" t="n">
        <f aca="false">SQRT((C56-C55)^2+(D56-D55)^2+(E56-E55)^2)</f>
        <v>19.5780642555513</v>
      </c>
      <c r="I56" s="6" t="n">
        <f aca="false">MOD((2*180*(ATAN((C55-C56)/(D56-D55))*180/PI())/360), 360)</f>
        <v>340.227222937092</v>
      </c>
      <c r="J56" s="2" t="n">
        <f aca="false">ASIN((E56-E55)/H56)*180/PI()</f>
        <v>32.4331024455848</v>
      </c>
      <c r="L56" s="6" t="n">
        <f aca="false">C56-C55</f>
        <v>-5.59000000002561</v>
      </c>
      <c r="M56" s="6" t="n">
        <f aca="false">D56-D55</f>
        <v>-15.5499999998137</v>
      </c>
      <c r="N56" s="6" t="n">
        <f aca="false">(C56-C55)/(D56-D55)</f>
        <v>0.359485530552577</v>
      </c>
      <c r="O56" s="12" t="n">
        <f aca="false">ATAN((C56-C55)/(D56-D55))*180/PI()</f>
        <v>19.7727770629078</v>
      </c>
      <c r="P56" s="6" t="n">
        <f aca="false">IF(M56&lt;0,O56+180,IF(AND(M56&gt;0,L56&lt;0),O56+360,O56))</f>
        <v>199.772777062908</v>
      </c>
      <c r="Q56" s="6" t="n">
        <f aca="false">P56-1.437</f>
        <v>198.335777062908</v>
      </c>
      <c r="S56" s="6" t="n">
        <f aca="false">F56</f>
        <v>53</v>
      </c>
      <c r="T56" s="6" t="str">
        <f aca="false">G56</f>
        <v>DAV54</v>
      </c>
      <c r="U56" s="6" t="n">
        <f aca="false">H56</f>
        <v>19.5780642555513</v>
      </c>
      <c r="V56" s="6" t="n">
        <f aca="false">Q56</f>
        <v>198.335777062908</v>
      </c>
      <c r="W56" s="2" t="n">
        <f aca="false">J56</f>
        <v>32.4331024455848</v>
      </c>
    </row>
    <row r="57" customFormat="false" ht="12.8" hidden="false" customHeight="false" outlineLevel="0" collapsed="false">
      <c r="A57" s="6" t="s">
        <v>5</v>
      </c>
      <c r="B57" s="1" t="n">
        <v>55</v>
      </c>
      <c r="C57" s="2" t="n">
        <v>351804.48</v>
      </c>
      <c r="D57" s="2" t="n">
        <v>5266337.96</v>
      </c>
      <c r="E57" s="2" t="n">
        <v>2219.7</v>
      </c>
      <c r="F57" s="6" t="n">
        <f aca="false">B56</f>
        <v>54</v>
      </c>
      <c r="G57" s="7" t="str">
        <f aca="false">_xlfn.CONCAT("DAV",B57)</f>
        <v>DAV55</v>
      </c>
      <c r="H57" s="6" t="n">
        <f aca="false">SQRT((C57-C56)^2+(D57-D56)^2+(E57-E56)^2)</f>
        <v>3.60333179161104</v>
      </c>
      <c r="I57" s="6" t="n">
        <f aca="false">MOD((2*180*(ATAN((C56-C57)/(D57-D56))*180/PI())/360), 360)</f>
        <v>338.070412250454</v>
      </c>
      <c r="J57" s="2" t="n">
        <f aca="false">ASIN((E57-E56)/H57)*180/PI()</f>
        <v>22.8630194287659</v>
      </c>
      <c r="L57" s="6" t="n">
        <f aca="false">C57-C56</f>
        <v>-1.23999999999069</v>
      </c>
      <c r="M57" s="6" t="n">
        <f aca="false">D57-D56</f>
        <v>-3.08000000007451</v>
      </c>
      <c r="N57" s="6" t="n">
        <f aca="false">(C57-C56)/(D57-D56)</f>
        <v>0.40259740258464</v>
      </c>
      <c r="O57" s="12" t="n">
        <f aca="false">ATAN((C57-C56)/(D57-D56))*180/PI()</f>
        <v>21.9295877495461</v>
      </c>
      <c r="P57" s="6" t="n">
        <f aca="false">IF(M57&lt;0,O57+180,IF(AND(M57&gt;0,L57&lt;0),O57+360,O57))</f>
        <v>201.929587749546</v>
      </c>
      <c r="Q57" s="6" t="n">
        <f aca="false">P57-1.437</f>
        <v>200.492587749546</v>
      </c>
      <c r="S57" s="6" t="n">
        <f aca="false">F57</f>
        <v>54</v>
      </c>
      <c r="T57" s="6" t="str">
        <f aca="false">G57</f>
        <v>DAV55</v>
      </c>
      <c r="U57" s="6" t="n">
        <f aca="false">H57</f>
        <v>3.60333179161104</v>
      </c>
      <c r="V57" s="6" t="n">
        <f aca="false">Q57</f>
        <v>200.492587749546</v>
      </c>
      <c r="W57" s="2" t="n">
        <f aca="false">J57</f>
        <v>22.8630194287659</v>
      </c>
    </row>
    <row r="58" customFormat="false" ht="12.8" hidden="false" customHeight="false" outlineLevel="0" collapsed="false">
      <c r="A58" s="6" t="s">
        <v>5</v>
      </c>
      <c r="B58" s="1" t="n">
        <v>56</v>
      </c>
      <c r="C58" s="2" t="n">
        <v>351803.78</v>
      </c>
      <c r="D58" s="2" t="n">
        <v>5266335.25</v>
      </c>
      <c r="E58" s="2" t="n">
        <v>2220.5</v>
      </c>
      <c r="F58" s="6" t="n">
        <f aca="false">B57</f>
        <v>55</v>
      </c>
      <c r="G58" s="7" t="str">
        <f aca="false">_xlfn.CONCAT("DAV",B58)</f>
        <v>DAV56</v>
      </c>
      <c r="H58" s="6" t="n">
        <f aca="false">SQRT((C58-C57)^2+(D58-D57)^2+(E58-E57)^2)</f>
        <v>2.91103074524011</v>
      </c>
      <c r="I58" s="6" t="n">
        <f aca="false">MOD((2*180*(ATAN((C57-C58)/(D58-D57))*180/PI())/360), 360)</f>
        <v>345.516918091591</v>
      </c>
      <c r="J58" s="2" t="n">
        <f aca="false">ASIN((E58-E57)/H58)*180/PI()</f>
        <v>15.9510937853565</v>
      </c>
      <c r="L58" s="6" t="n">
        <f aca="false">C58-C57</f>
        <v>-0.699999999953434</v>
      </c>
      <c r="M58" s="6" t="n">
        <f aca="false">D58-D57</f>
        <v>-2.70999999996275</v>
      </c>
      <c r="N58" s="6" t="n">
        <f aca="false">(C58-C57)/(D58-D57)</f>
        <v>0.258302583012198</v>
      </c>
      <c r="O58" s="12" t="n">
        <f aca="false">ATAN((C58-C57)/(D58-D57))*180/PI()</f>
        <v>14.4830819084089</v>
      </c>
      <c r="P58" s="6" t="n">
        <f aca="false">IF(M58&lt;0,O58+180,IF(AND(M58&gt;0,L58&lt;0),O58+360,O58))</f>
        <v>194.483081908409</v>
      </c>
      <c r="Q58" s="6" t="n">
        <f aca="false">P58-1.437</f>
        <v>193.046081908409</v>
      </c>
      <c r="S58" s="6" t="n">
        <f aca="false">F58</f>
        <v>55</v>
      </c>
      <c r="T58" s="6" t="str">
        <f aca="false">G58</f>
        <v>DAV56</v>
      </c>
      <c r="U58" s="6" t="n">
        <f aca="false">H58</f>
        <v>2.91103074524011</v>
      </c>
      <c r="V58" s="6" t="n">
        <f aca="false">Q58</f>
        <v>193.046081908409</v>
      </c>
      <c r="W58" s="2" t="n">
        <f aca="false">J58</f>
        <v>15.9510937853565</v>
      </c>
    </row>
    <row r="59" customFormat="false" ht="12.8" hidden="false" customHeight="false" outlineLevel="0" collapsed="false">
      <c r="A59" s="6" t="s">
        <v>5</v>
      </c>
      <c r="B59" s="1" t="n">
        <v>57</v>
      </c>
      <c r="C59" s="2" t="n">
        <v>351803.58</v>
      </c>
      <c r="D59" s="2" t="n">
        <v>5266332.41</v>
      </c>
      <c r="E59" s="2" t="n">
        <v>2221.2</v>
      </c>
      <c r="F59" s="6" t="n">
        <f aca="false">B58</f>
        <v>56</v>
      </c>
      <c r="G59" s="7" t="str">
        <f aca="false">_xlfn.CONCAT("DAV",B59)</f>
        <v>DAV57</v>
      </c>
      <c r="H59" s="6" t="n">
        <f aca="false">SQRT((C59-C58)^2+(D59-D58)^2+(E59-E58)^2)</f>
        <v>2.93182536982645</v>
      </c>
      <c r="I59" s="6" t="n">
        <f aca="false">MOD((2*180*(ATAN((C58-C59)/(D59-D58))*180/PI())/360), 360)</f>
        <v>355.971736333071</v>
      </c>
      <c r="J59" s="2" t="n">
        <f aca="false">ASIN((E59-E58)/H59)*180/PI()</f>
        <v>13.8133132858308</v>
      </c>
      <c r="L59" s="6" t="n">
        <f aca="false">C59-C58</f>
        <v>-0.200000000011642</v>
      </c>
      <c r="M59" s="6" t="n">
        <f aca="false">D59-D58</f>
        <v>-2.83999999985099</v>
      </c>
      <c r="N59" s="6" t="n">
        <f aca="false">(C59-C58)/(D59-D58)</f>
        <v>0.0704225352190617</v>
      </c>
      <c r="O59" s="12" t="n">
        <f aca="false">ATAN((C59-C58)/(D59-D58))*180/PI()</f>
        <v>4.02826366692951</v>
      </c>
      <c r="P59" s="6" t="n">
        <f aca="false">IF(M59&lt;0,O59+180,IF(AND(M59&gt;0,L59&lt;0),O59+360,O59))</f>
        <v>184.02826366693</v>
      </c>
      <c r="Q59" s="6" t="n">
        <f aca="false">P59-1.437</f>
        <v>182.59126366693</v>
      </c>
      <c r="S59" s="6" t="n">
        <f aca="false">F59</f>
        <v>56</v>
      </c>
      <c r="T59" s="6" t="str">
        <f aca="false">G59</f>
        <v>DAV57</v>
      </c>
      <c r="U59" s="6" t="n">
        <f aca="false">H59</f>
        <v>2.93182536982645</v>
      </c>
      <c r="V59" s="6" t="n">
        <f aca="false">Q59</f>
        <v>182.59126366693</v>
      </c>
      <c r="W59" s="2" t="n">
        <f aca="false">J59</f>
        <v>13.8133132858308</v>
      </c>
    </row>
    <row r="60" customFormat="false" ht="12.8" hidden="false" customHeight="false" outlineLevel="0" collapsed="false">
      <c r="A60" s="6" t="s">
        <v>5</v>
      </c>
      <c r="B60" s="1" t="n">
        <v>58</v>
      </c>
      <c r="C60" s="2" t="n">
        <v>351804.09</v>
      </c>
      <c r="D60" s="2" t="n">
        <v>5266331.14</v>
      </c>
      <c r="E60" s="2" t="n">
        <v>2221.7</v>
      </c>
      <c r="F60" s="6" t="n">
        <f aca="false">B59</f>
        <v>57</v>
      </c>
      <c r="G60" s="7" t="str">
        <f aca="false">_xlfn.CONCAT("DAV",B60)</f>
        <v>DAV58</v>
      </c>
      <c r="H60" s="6" t="n">
        <f aca="false">SQRT((C60-C59)^2+(D60-D59)^2+(E60-E59)^2)</f>
        <v>1.4570518183097</v>
      </c>
      <c r="I60" s="6" t="n">
        <f aca="false">MOD((2*180*(ATAN((C59-C60)/(D60-D59))*180/PI())/360), 360)</f>
        <v>21.8791513303817</v>
      </c>
      <c r="J60" s="2" t="n">
        <f aca="false">ASIN((E60-E59)/H60)*180/PI()</f>
        <v>20.0694361008357</v>
      </c>
      <c r="L60" s="6" t="n">
        <f aca="false">C60-C59</f>
        <v>0.510000000009313</v>
      </c>
      <c r="M60" s="6" t="n">
        <f aca="false">D60-D59</f>
        <v>-1.27000000048429</v>
      </c>
      <c r="N60" s="6" t="n">
        <f aca="false">(C60-C59)/(D60-D59)</f>
        <v>-0.401574803003807</v>
      </c>
      <c r="O60" s="12" t="n">
        <f aca="false">ATAN((C60-C59)/(D60-D59))*180/PI()</f>
        <v>-21.8791513303817</v>
      </c>
      <c r="P60" s="6" t="n">
        <f aca="false">IF(M60&lt;0,O60+180,IF(AND(M60&gt;0,L60&lt;0),O60+360,O60))</f>
        <v>158.120848669618</v>
      </c>
      <c r="Q60" s="6" t="n">
        <f aca="false">P60-1.437</f>
        <v>156.683848669618</v>
      </c>
      <c r="S60" s="6" t="n">
        <f aca="false">F60</f>
        <v>57</v>
      </c>
      <c r="T60" s="6" t="str">
        <f aca="false">G60</f>
        <v>DAV58</v>
      </c>
      <c r="U60" s="6" t="n">
        <f aca="false">H60</f>
        <v>1.4570518183097</v>
      </c>
      <c r="V60" s="6" t="n">
        <f aca="false">Q60</f>
        <v>156.683848669618</v>
      </c>
      <c r="W60" s="2" t="n">
        <f aca="false">J60</f>
        <v>20.0694361008357</v>
      </c>
    </row>
    <row r="61" customFormat="false" ht="12.8" hidden="false" customHeight="false" outlineLevel="0" collapsed="false">
      <c r="A61" s="6" t="s">
        <v>5</v>
      </c>
      <c r="B61" s="1" t="n">
        <v>59</v>
      </c>
      <c r="C61" s="2" t="n">
        <v>351806.32</v>
      </c>
      <c r="D61" s="2" t="n">
        <v>5266327.46</v>
      </c>
      <c r="E61" s="2" t="n">
        <v>2221.9</v>
      </c>
      <c r="F61" s="6" t="n">
        <f aca="false">B60</f>
        <v>58</v>
      </c>
      <c r="G61" s="7" t="str">
        <f aca="false">_xlfn.CONCAT("DAV",B61)</f>
        <v>DAV59</v>
      </c>
      <c r="H61" s="6" t="n">
        <f aca="false">SQRT((C61-C60)^2+(D61-D60)^2+(E61-E60)^2)</f>
        <v>4.30758633084975</v>
      </c>
      <c r="I61" s="6" t="n">
        <f aca="false">MOD((2*180*(ATAN((C60-C61)/(D61-D60))*180/PI())/360), 360)</f>
        <v>31.2149520447115</v>
      </c>
      <c r="J61" s="2" t="n">
        <f aca="false">ASIN((E61-E60)/H61)*180/PI()</f>
        <v>2.66118334954279</v>
      </c>
      <c r="L61" s="6" t="n">
        <f aca="false">C61-C60</f>
        <v>2.22999999998137</v>
      </c>
      <c r="M61" s="6" t="n">
        <f aca="false">D61-D60</f>
        <v>-3.67999999970198</v>
      </c>
      <c r="N61" s="6" t="n">
        <f aca="false">(C61-C60)/(D61-D60)</f>
        <v>-0.605978260913579</v>
      </c>
      <c r="O61" s="12" t="n">
        <f aca="false">ATAN((C61-C60)/(D61-D60))*180/PI()</f>
        <v>-31.2149520447115</v>
      </c>
      <c r="P61" s="6" t="n">
        <f aca="false">IF(M61&lt;0,O61+180,IF(AND(M61&gt;0,L61&lt;0),O61+360,O61))</f>
        <v>148.785047955289</v>
      </c>
      <c r="Q61" s="6" t="n">
        <f aca="false">P61-1.437</f>
        <v>147.348047955289</v>
      </c>
      <c r="S61" s="6" t="n">
        <f aca="false">F61</f>
        <v>58</v>
      </c>
      <c r="T61" s="6" t="str">
        <f aca="false">G61</f>
        <v>DAV59</v>
      </c>
      <c r="U61" s="6" t="n">
        <f aca="false">H61</f>
        <v>4.30758633084975</v>
      </c>
      <c r="V61" s="6" t="n">
        <f aca="false">Q61</f>
        <v>147.348047955289</v>
      </c>
      <c r="W61" s="2" t="n">
        <f aca="false">J61</f>
        <v>2.66118334954279</v>
      </c>
    </row>
    <row r="62" customFormat="false" ht="12.8" hidden="false" customHeight="false" outlineLevel="0" collapsed="false">
      <c r="A62" s="6" t="s">
        <v>5</v>
      </c>
      <c r="B62" s="1" t="n">
        <v>60</v>
      </c>
      <c r="C62" s="2" t="n">
        <v>351812.77</v>
      </c>
      <c r="D62" s="2" t="n">
        <v>5266319.71</v>
      </c>
      <c r="E62" s="2" t="n">
        <v>2235.1</v>
      </c>
      <c r="F62" s="6" t="n">
        <f aca="false">B61</f>
        <v>59</v>
      </c>
      <c r="G62" s="7" t="str">
        <f aca="false">_xlfn.CONCAT("DAV",B62)</f>
        <v>DAV60</v>
      </c>
      <c r="H62" s="6" t="n">
        <f aca="false">SQRT((C62-C61)^2+(D62-D61)^2+(E62-E61)^2)</f>
        <v>16.6103883157543</v>
      </c>
      <c r="I62" s="6" t="n">
        <f aca="false">MOD((2*180*(ATAN((C61-C62)/(D62-D61))*180/PI())/360), 360)</f>
        <v>39.7691928244976</v>
      </c>
      <c r="J62" s="2" t="n">
        <f aca="false">ASIN((E62-E61)/H62)*180/PI()</f>
        <v>52.6253629857441</v>
      </c>
      <c r="L62" s="6" t="n">
        <f aca="false">C62-C61</f>
        <v>6.45000000001164</v>
      </c>
      <c r="M62" s="6" t="n">
        <f aca="false">D62-D61</f>
        <v>-7.75</v>
      </c>
      <c r="N62" s="6" t="n">
        <f aca="false">(C62-C61)/(D62-D61)</f>
        <v>-0.832258064517631</v>
      </c>
      <c r="O62" s="12" t="n">
        <f aca="false">ATAN((C62-C61)/(D62-D61))*180/PI()</f>
        <v>-39.7691928244976</v>
      </c>
      <c r="P62" s="6" t="n">
        <f aca="false">IF(M62&lt;0,O62+180,IF(AND(M62&gt;0,L62&lt;0),O62+360,O62))</f>
        <v>140.230807175502</v>
      </c>
      <c r="Q62" s="6" t="n">
        <f aca="false">P62-1.437</f>
        <v>138.793807175502</v>
      </c>
      <c r="S62" s="6" t="n">
        <f aca="false">F62</f>
        <v>59</v>
      </c>
      <c r="T62" s="6" t="str">
        <f aca="false">G62</f>
        <v>DAV60</v>
      </c>
      <c r="U62" s="6" t="n">
        <f aca="false">H62</f>
        <v>16.6103883157543</v>
      </c>
      <c r="V62" s="6" t="n">
        <f aca="false">Q62</f>
        <v>138.793807175502</v>
      </c>
      <c r="W62" s="2" t="n">
        <f aca="false">J62</f>
        <v>52.6253629857441</v>
      </c>
    </row>
    <row r="63" customFormat="false" ht="12.8" hidden="false" customHeight="false" outlineLevel="0" collapsed="false">
      <c r="A63" s="6" t="s">
        <v>5</v>
      </c>
      <c r="B63" s="1" t="n">
        <v>61</v>
      </c>
      <c r="C63" s="2" t="n">
        <v>351815.64</v>
      </c>
      <c r="D63" s="2" t="n">
        <v>5266317.47</v>
      </c>
      <c r="E63" s="2" t="n">
        <v>2237.3</v>
      </c>
      <c r="F63" s="6" t="n">
        <f aca="false">B62</f>
        <v>60</v>
      </c>
      <c r="G63" s="7" t="str">
        <f aca="false">_xlfn.CONCAT("DAV",B63)</f>
        <v>DAV61</v>
      </c>
      <c r="H63" s="6" t="n">
        <f aca="false">SQRT((C63-C62)^2+(D63-D62)^2+(E63-E62)^2)</f>
        <v>4.25376304005945</v>
      </c>
      <c r="I63" s="6" t="n">
        <f aca="false">MOD((2*180*(ATAN((C62-C63)/(D63-D62))*180/PI())/360), 360)</f>
        <v>52.0283962361315</v>
      </c>
      <c r="J63" s="2" t="n">
        <f aca="false">ASIN((E63-E62)/H63)*180/PI()</f>
        <v>31.1438919651948</v>
      </c>
      <c r="L63" s="6" t="n">
        <f aca="false">C63-C62</f>
        <v>2.86999999999534</v>
      </c>
      <c r="M63" s="6" t="n">
        <f aca="false">D63-D62</f>
        <v>-2.24000000022352</v>
      </c>
      <c r="N63" s="6" t="n">
        <f aca="false">(C63-C62)/(D63-D62)</f>
        <v>-1.28124999987007</v>
      </c>
      <c r="O63" s="12" t="n">
        <f aca="false">ATAN((C63-C62)/(D63-D62))*180/PI()</f>
        <v>-52.0283962361315</v>
      </c>
      <c r="P63" s="6" t="n">
        <f aca="false">IF(M63&lt;0,O63+180,IF(AND(M63&gt;0,L63&lt;0),O63+360,O63))</f>
        <v>127.971603763869</v>
      </c>
      <c r="Q63" s="6" t="n">
        <f aca="false">P63-1.437</f>
        <v>126.534603763869</v>
      </c>
      <c r="S63" s="6" t="n">
        <f aca="false">F63</f>
        <v>60</v>
      </c>
      <c r="T63" s="6" t="str">
        <f aca="false">G63</f>
        <v>DAV61</v>
      </c>
      <c r="U63" s="6" t="n">
        <f aca="false">H63</f>
        <v>4.25376304005945</v>
      </c>
      <c r="V63" s="6" t="n">
        <f aca="false">Q63</f>
        <v>126.534603763869</v>
      </c>
      <c r="W63" s="2" t="n">
        <f aca="false">J63</f>
        <v>31.1438919651948</v>
      </c>
    </row>
    <row r="64" customFormat="false" ht="12.8" hidden="false" customHeight="false" outlineLevel="0" collapsed="false">
      <c r="A64" s="6" t="s">
        <v>5</v>
      </c>
      <c r="B64" s="1" t="n">
        <v>62</v>
      </c>
      <c r="C64" s="2" t="n">
        <v>351816.61</v>
      </c>
      <c r="D64" s="2" t="n">
        <v>5266316.45</v>
      </c>
      <c r="E64" s="2" t="n">
        <v>2237.7</v>
      </c>
      <c r="F64" s="6" t="n">
        <f aca="false">B63</f>
        <v>61</v>
      </c>
      <c r="G64" s="7" t="str">
        <f aca="false">_xlfn.CONCAT("DAV",B64)</f>
        <v>DAV62</v>
      </c>
      <c r="H64" s="6" t="n">
        <f aca="false">SQRT((C64-C63)^2+(D64-D63)^2+(E64-E63)^2)</f>
        <v>1.46331814689546</v>
      </c>
      <c r="I64" s="6" t="n">
        <f aca="false">MOD((2*180*(ATAN((C63-C64)/(D64-D63))*180/PI())/360), 360)</f>
        <v>43.5607103838331</v>
      </c>
      <c r="J64" s="2" t="n">
        <f aca="false">ASIN((E64-E63)/H64)*180/PI()</f>
        <v>15.8637898228242</v>
      </c>
      <c r="L64" s="6" t="n">
        <f aca="false">C64-C63</f>
        <v>0.96999999997206</v>
      </c>
      <c r="M64" s="6" t="n">
        <f aca="false">D64-D63</f>
        <v>-1.01999999955297</v>
      </c>
      <c r="N64" s="6" t="n">
        <f aca="false">(C64-C63)/(D64-D63)</f>
        <v>-0.950980392546257</v>
      </c>
      <c r="O64" s="12" t="n">
        <f aca="false">ATAN((C64-C63)/(D64-D63))*180/PI()</f>
        <v>-43.5607103838331</v>
      </c>
      <c r="P64" s="6" t="n">
        <f aca="false">IF(M64&lt;0,O64+180,IF(AND(M64&gt;0,L64&lt;0),O64+360,O64))</f>
        <v>136.439289616167</v>
      </c>
      <c r="Q64" s="6" t="n">
        <f aca="false">P64-1.437</f>
        <v>135.002289616167</v>
      </c>
      <c r="S64" s="6" t="n">
        <f aca="false">F64</f>
        <v>61</v>
      </c>
      <c r="T64" s="6" t="str">
        <f aca="false">G64</f>
        <v>DAV62</v>
      </c>
      <c r="U64" s="6" t="n">
        <f aca="false">H64</f>
        <v>1.46331814689546</v>
      </c>
      <c r="V64" s="6" t="n">
        <f aca="false">Q64</f>
        <v>135.002289616167</v>
      </c>
      <c r="W64" s="2" t="n">
        <f aca="false">J64</f>
        <v>15.8637898228242</v>
      </c>
    </row>
    <row r="65" customFormat="false" ht="12.8" hidden="false" customHeight="false" outlineLevel="0" collapsed="false">
      <c r="A65" s="6" t="s">
        <v>5</v>
      </c>
      <c r="B65" s="1" t="n">
        <v>63</v>
      </c>
      <c r="C65" s="2" t="n">
        <v>351817.89</v>
      </c>
      <c r="D65" s="2" t="n">
        <v>5266314.51</v>
      </c>
      <c r="E65" s="2" t="n">
        <v>2239.3</v>
      </c>
      <c r="F65" s="6" t="n">
        <f aca="false">B64</f>
        <v>62</v>
      </c>
      <c r="G65" s="7" t="str">
        <f aca="false">_xlfn.CONCAT("DAV",B65)</f>
        <v>DAV63</v>
      </c>
      <c r="H65" s="6" t="n">
        <f aca="false">SQRT((C65-C64)^2+(D65-D64)^2+(E65-E64)^2)</f>
        <v>2.82170161456924</v>
      </c>
      <c r="I65" s="6" t="n">
        <f aca="false">MOD((2*180*(ATAN((C64-C65)/(D65-D64))*180/PI())/360), 360)</f>
        <v>33.4165813903245</v>
      </c>
      <c r="J65" s="2" t="n">
        <f aca="false">ASIN((E65-E64)/H65)*180/PI()</f>
        <v>34.5436368779</v>
      </c>
      <c r="L65" s="6" t="n">
        <f aca="false">C65-C64</f>
        <v>1.28000000002794</v>
      </c>
      <c r="M65" s="6" t="n">
        <f aca="false">D65-D64</f>
        <v>-1.94000000040978</v>
      </c>
      <c r="N65" s="6" t="n">
        <f aca="false">(C65-C64)/(D65-D64)</f>
        <v>-0.659793814308025</v>
      </c>
      <c r="O65" s="12" t="n">
        <f aca="false">ATAN((C65-C64)/(D65-D64))*180/PI()</f>
        <v>-33.4165813903245</v>
      </c>
      <c r="P65" s="6" t="n">
        <f aca="false">IF(M65&lt;0,O65+180,IF(AND(M65&gt;0,L65&lt;0),O65+360,O65))</f>
        <v>146.583418609675</v>
      </c>
      <c r="Q65" s="6" t="n">
        <f aca="false">P65-1.437</f>
        <v>145.146418609675</v>
      </c>
      <c r="S65" s="6" t="n">
        <f aca="false">F65</f>
        <v>62</v>
      </c>
      <c r="T65" s="6" t="str">
        <f aca="false">G65</f>
        <v>DAV63</v>
      </c>
      <c r="U65" s="6" t="n">
        <f aca="false">H65</f>
        <v>2.82170161456924</v>
      </c>
      <c r="V65" s="6" t="n">
        <f aca="false">Q65</f>
        <v>145.146418609675</v>
      </c>
      <c r="W65" s="2" t="n">
        <f aca="false">J65</f>
        <v>34.5436368779</v>
      </c>
    </row>
    <row r="66" customFormat="false" ht="12.8" hidden="false" customHeight="false" outlineLevel="0" collapsed="false">
      <c r="A66" s="6" t="s">
        <v>5</v>
      </c>
      <c r="B66" s="1" t="n">
        <v>64</v>
      </c>
      <c r="C66" s="2" t="n">
        <v>351820.1</v>
      </c>
      <c r="D66" s="2" t="n">
        <v>5266309.96</v>
      </c>
      <c r="E66" s="2" t="n">
        <v>2241.9</v>
      </c>
      <c r="F66" s="6" t="n">
        <f aca="false">B65</f>
        <v>63</v>
      </c>
      <c r="G66" s="7" t="str">
        <f aca="false">_xlfn.CONCAT("DAV",B66)</f>
        <v>DAV64</v>
      </c>
      <c r="H66" s="6" t="n">
        <f aca="false">SQRT((C66-C65)^2+(D66-D65)^2+(E66-E65)^2)</f>
        <v>5.68740714193558</v>
      </c>
      <c r="I66" s="6" t="n">
        <f aca="false">MOD((2*180*(ATAN((C65-C66)/(D66-D65))*180/PI())/360), 360)</f>
        <v>25.9065080000566</v>
      </c>
      <c r="J66" s="2" t="n">
        <f aca="false">ASIN((E66-E65)/H66)*180/PI()</f>
        <v>27.2033752371366</v>
      </c>
      <c r="L66" s="6" t="n">
        <f aca="false">C66-C65</f>
        <v>2.20999999996275</v>
      </c>
      <c r="M66" s="6" t="n">
        <f aca="false">D66-D65</f>
        <v>-4.54999999981374</v>
      </c>
      <c r="N66" s="6" t="n">
        <f aca="false">(C66-C65)/(D66-D65)</f>
        <v>-0.485714285725982</v>
      </c>
      <c r="O66" s="12" t="n">
        <f aca="false">ATAN((C66-C65)/(D66-D65))*180/PI()</f>
        <v>-25.9065080000566</v>
      </c>
      <c r="P66" s="6" t="n">
        <f aca="false">IF(M66&lt;0,O66+180,IF(AND(M66&gt;0,L66&lt;0),O66+360,O66))</f>
        <v>154.093491999943</v>
      </c>
      <c r="Q66" s="6" t="n">
        <f aca="false">P66-1.437</f>
        <v>152.656491999943</v>
      </c>
      <c r="S66" s="6" t="n">
        <f aca="false">F66</f>
        <v>63</v>
      </c>
      <c r="T66" s="6" t="str">
        <f aca="false">G66</f>
        <v>DAV64</v>
      </c>
      <c r="U66" s="6" t="n">
        <f aca="false">H66</f>
        <v>5.68740714193558</v>
      </c>
      <c r="V66" s="6" t="n">
        <f aca="false">Q66</f>
        <v>152.656491999943</v>
      </c>
      <c r="W66" s="2" t="n">
        <f aca="false">J66</f>
        <v>27.2033752371366</v>
      </c>
    </row>
    <row r="67" customFormat="false" ht="12.8" hidden="false" customHeight="false" outlineLevel="0" collapsed="false">
      <c r="A67" s="6" t="s">
        <v>5</v>
      </c>
      <c r="B67" s="1" t="n">
        <v>65</v>
      </c>
      <c r="C67" s="2" t="n">
        <v>351822.07</v>
      </c>
      <c r="D67" s="2" t="n">
        <v>5266304.46</v>
      </c>
      <c r="E67" s="2" t="n">
        <v>2248.7</v>
      </c>
      <c r="F67" s="6" t="n">
        <f aca="false">B66</f>
        <v>64</v>
      </c>
      <c r="G67" s="7" t="str">
        <f aca="false">_xlfn.CONCAT("DAV",B67)</f>
        <v>DAV65</v>
      </c>
      <c r="H67" s="6" t="n">
        <f aca="false">SQRT((C67-C66)^2+(D67-D66)^2+(E67-E66)^2)</f>
        <v>8.96498187394239</v>
      </c>
      <c r="I67" s="6" t="n">
        <f aca="false">MOD((2*180*(ATAN((C66-C67)/(D67-D66))*180/PI())/360), 360)</f>
        <v>19.7066008120998</v>
      </c>
      <c r="J67" s="2" t="n">
        <f aca="false">ASIN((E67-E66)/H67)*180/PI()</f>
        <v>49.3327397354224</v>
      </c>
      <c r="L67" s="6" t="n">
        <f aca="false">C67-C66</f>
        <v>1.97000000003027</v>
      </c>
      <c r="M67" s="6" t="n">
        <f aca="false">D67-D66</f>
        <v>-5.5</v>
      </c>
      <c r="N67" s="6" t="n">
        <f aca="false">(C67-C66)/(D67-D66)</f>
        <v>-0.358181818187322</v>
      </c>
      <c r="O67" s="12" t="n">
        <f aca="false">ATAN((C67-C66)/(D67-D66))*180/PI()</f>
        <v>-19.7066008120998</v>
      </c>
      <c r="P67" s="6" t="n">
        <f aca="false">IF(M67&lt;0,O67+180,IF(AND(M67&gt;0,L67&lt;0),O67+360,O67))</f>
        <v>160.2933991879</v>
      </c>
      <c r="Q67" s="6" t="n">
        <f aca="false">P67-1.437</f>
        <v>158.8563991879</v>
      </c>
      <c r="S67" s="6" t="n">
        <f aca="false">F67</f>
        <v>64</v>
      </c>
      <c r="T67" s="6" t="str">
        <f aca="false">G67</f>
        <v>DAV65</v>
      </c>
      <c r="U67" s="6" t="n">
        <f aca="false">H67</f>
        <v>8.96498187394239</v>
      </c>
      <c r="V67" s="6" t="n">
        <f aca="false">Q67</f>
        <v>158.8563991879</v>
      </c>
      <c r="W67" s="2" t="n">
        <f aca="false">J67</f>
        <v>49.3327397354224</v>
      </c>
    </row>
    <row r="68" customFormat="false" ht="12.8" hidden="false" customHeight="false" outlineLevel="0" collapsed="false">
      <c r="A68" s="6" t="s">
        <v>5</v>
      </c>
      <c r="B68" s="1" t="n">
        <v>66</v>
      </c>
      <c r="C68" s="2" t="n">
        <v>351825.58</v>
      </c>
      <c r="D68" s="2" t="n">
        <v>5266288.24</v>
      </c>
      <c r="E68" s="2" t="n">
        <v>2263.7</v>
      </c>
      <c r="F68" s="6" t="n">
        <f aca="false">B67</f>
        <v>65</v>
      </c>
      <c r="G68" s="7" t="str">
        <f aca="false">_xlfn.CONCAT("DAV",B68)</f>
        <v>DAV66</v>
      </c>
      <c r="H68" s="6" t="n">
        <f aca="false">SQRT((C68-C67)^2+(D68-D67)^2+(E68-E67)^2)</f>
        <v>22.3698122475716</v>
      </c>
      <c r="I68" s="6" t="n">
        <f aca="false">MOD((2*180*(ATAN((C67-C68)/(D68-D67))*180/PI())/360), 360)</f>
        <v>12.210501097922</v>
      </c>
      <c r="J68" s="2" t="n">
        <f aca="false">ASIN((E68-E67)/H68)*180/PI()</f>
        <v>42.109260343534</v>
      </c>
      <c r="L68" s="6" t="n">
        <f aca="false">C68-C67</f>
        <v>3.51000000000931</v>
      </c>
      <c r="M68" s="6" t="n">
        <f aca="false">D68-D67</f>
        <v>-16.2199999997392</v>
      </c>
      <c r="N68" s="6" t="n">
        <f aca="false">(C68-C67)/(D68-D67)</f>
        <v>-0.216399506785804</v>
      </c>
      <c r="O68" s="12" t="n">
        <f aca="false">ATAN((C68-C67)/(D68-D67))*180/PI()</f>
        <v>-12.210501097922</v>
      </c>
      <c r="P68" s="6" t="n">
        <f aca="false">IF(M68&lt;0,O68+180,IF(AND(M68&gt;0,L68&lt;0),O68+360,O68))</f>
        <v>167.789498902078</v>
      </c>
      <c r="Q68" s="6" t="n">
        <f aca="false">P68-1.437</f>
        <v>166.352498902078</v>
      </c>
      <c r="S68" s="6" t="n">
        <f aca="false">F68</f>
        <v>65</v>
      </c>
      <c r="T68" s="6" t="str">
        <f aca="false">G68</f>
        <v>DAV66</v>
      </c>
      <c r="U68" s="6" t="n">
        <f aca="false">H68</f>
        <v>22.3698122475716</v>
      </c>
      <c r="V68" s="6" t="n">
        <f aca="false">Q68</f>
        <v>166.352498902078</v>
      </c>
      <c r="W68" s="2" t="n">
        <f aca="false">J68</f>
        <v>42.109260343534</v>
      </c>
    </row>
    <row r="69" customFormat="false" ht="12.8" hidden="false" customHeight="false" outlineLevel="0" collapsed="false">
      <c r="A69" s="6" t="s">
        <v>5</v>
      </c>
      <c r="B69" s="1" t="n">
        <v>67</v>
      </c>
      <c r="C69" s="2" t="n">
        <v>351825.63</v>
      </c>
      <c r="D69" s="2" t="n">
        <v>5266284.11</v>
      </c>
      <c r="E69" s="2" t="n">
        <v>2267.4</v>
      </c>
      <c r="F69" s="6" t="n">
        <f aca="false">B68</f>
        <v>66</v>
      </c>
      <c r="G69" s="7" t="str">
        <f aca="false">_xlfn.CONCAT("DAV",B69)</f>
        <v>DAV67</v>
      </c>
      <c r="H69" s="6" t="n">
        <f aca="false">SQRT((C69-C68)^2+(D69-D68)^2+(E69-E68)^2)</f>
        <v>5.54521415267956</v>
      </c>
      <c r="I69" s="6" t="n">
        <f aca="false">MOD((2*180*(ATAN((C68-C69)/(D69-D68))*180/PI())/360), 360)</f>
        <v>0.693619618644551</v>
      </c>
      <c r="J69" s="2" t="n">
        <f aca="false">ASIN((E69-E68)/H69)*180/PI()</f>
        <v>41.8545592837633</v>
      </c>
      <c r="L69" s="6" t="n">
        <f aca="false">C69-C68</f>
        <v>0.0499999999883585</v>
      </c>
      <c r="M69" s="6" t="n">
        <f aca="false">D69-D68</f>
        <v>-4.12999999988824</v>
      </c>
      <c r="N69" s="6" t="n">
        <f aca="false">(C69-C68)/(D69-D68)</f>
        <v>-0.0121065375277752</v>
      </c>
      <c r="O69" s="12" t="n">
        <f aca="false">ATAN((C69-C68)/(D69-D68))*180/PI()</f>
        <v>-0.693619618644551</v>
      </c>
      <c r="P69" s="6" t="n">
        <f aca="false">IF(M69&lt;0,O69+180,IF(AND(M69&gt;0,L69&lt;0),O69+360,O69))</f>
        <v>179.306380381355</v>
      </c>
      <c r="Q69" s="6" t="n">
        <f aca="false">P69-1.437</f>
        <v>177.869380381355</v>
      </c>
      <c r="S69" s="6" t="n">
        <f aca="false">F69</f>
        <v>66</v>
      </c>
      <c r="T69" s="6" t="str">
        <f aca="false">G69</f>
        <v>DAV67</v>
      </c>
      <c r="U69" s="6" t="n">
        <f aca="false">H69</f>
        <v>5.54521415267956</v>
      </c>
      <c r="V69" s="6" t="n">
        <f aca="false">Q69</f>
        <v>177.869380381355</v>
      </c>
      <c r="W69" s="2" t="n">
        <f aca="false">J69</f>
        <v>41.8545592837633</v>
      </c>
    </row>
    <row r="70" customFormat="false" ht="12.8" hidden="false" customHeight="false" outlineLevel="0" collapsed="false">
      <c r="A70" s="6" t="s">
        <v>5</v>
      </c>
      <c r="B70" s="1" t="n">
        <v>68</v>
      </c>
      <c r="C70" s="2" t="n">
        <v>351825.54</v>
      </c>
      <c r="D70" s="2" t="n">
        <v>5266282.99</v>
      </c>
      <c r="E70" s="2" t="n">
        <v>2268.4</v>
      </c>
      <c r="F70" s="6" t="n">
        <f aca="false">B69</f>
        <v>67</v>
      </c>
      <c r="G70" s="7" t="str">
        <f aca="false">_xlfn.CONCAT("DAV",B70)</f>
        <v>DAV68</v>
      </c>
      <c r="H70" s="6" t="n">
        <f aca="false">SQRT((C70-C69)^2+(D70-D69)^2+(E70-E69)^2)</f>
        <v>1.50416089573388</v>
      </c>
      <c r="I70" s="6" t="n">
        <f aca="false">MOD((2*180*(ATAN((C69-C70)/(D70-D69))*180/PI())/360), 360)</f>
        <v>355.405746667888</v>
      </c>
      <c r="J70" s="2" t="n">
        <f aca="false">ASIN((E70-E69)/H70)*180/PI()</f>
        <v>41.6687091570314</v>
      </c>
      <c r="L70" s="6" t="n">
        <f aca="false">C70-C69</f>
        <v>-0.0900000000256114</v>
      </c>
      <c r="M70" s="6" t="n">
        <f aca="false">D70-D69</f>
        <v>-1.12000000011176</v>
      </c>
      <c r="N70" s="6" t="n">
        <f aca="false">(C70-C69)/(D70-D69)</f>
        <v>0.0803571428719918</v>
      </c>
      <c r="O70" s="12" t="n">
        <f aca="false">ATAN((C70-C69)/(D70-D69))*180/PI()</f>
        <v>4.59425333211171</v>
      </c>
      <c r="P70" s="6" t="n">
        <f aca="false">IF(M70&lt;0,O70+180,IF(AND(M70&gt;0,L70&lt;0),O70+360,O70))</f>
        <v>184.594253332112</v>
      </c>
      <c r="Q70" s="6" t="n">
        <f aca="false">P70-1.437</f>
        <v>183.157253332112</v>
      </c>
      <c r="S70" s="6" t="n">
        <f aca="false">F70</f>
        <v>67</v>
      </c>
      <c r="T70" s="6" t="str">
        <f aca="false">G70</f>
        <v>DAV68</v>
      </c>
      <c r="U70" s="6" t="n">
        <f aca="false">H70</f>
        <v>1.50416089573388</v>
      </c>
      <c r="V70" s="6" t="n">
        <f aca="false">Q70</f>
        <v>183.157253332112</v>
      </c>
      <c r="W70" s="2" t="n">
        <f aca="false">J70</f>
        <v>41.6687091570314</v>
      </c>
    </row>
    <row r="71" customFormat="false" ht="12.8" hidden="false" customHeight="false" outlineLevel="0" collapsed="false">
      <c r="A71" s="6" t="s">
        <v>5</v>
      </c>
      <c r="B71" s="1" t="n">
        <v>69</v>
      </c>
      <c r="C71" s="2" t="n">
        <v>351825.11</v>
      </c>
      <c r="D71" s="2" t="n">
        <v>5266281.34</v>
      </c>
      <c r="E71" s="2" t="n">
        <v>2269.7</v>
      </c>
      <c r="F71" s="6" t="n">
        <f aca="false">B70</f>
        <v>68</v>
      </c>
      <c r="G71" s="7" t="str">
        <f aca="false">_xlfn.CONCAT("DAV",B71)</f>
        <v>DAV69</v>
      </c>
      <c r="H71" s="6" t="n">
        <f aca="false">SQRT((C71-C70)^2+(D71-D70)^2+(E71-E70)^2)</f>
        <v>2.14415484543972</v>
      </c>
      <c r="I71" s="6" t="n">
        <f aca="false">MOD((2*180*(ATAN((C70-C71)/(D71-D70))*180/PI())/360), 360)</f>
        <v>345.393262648937</v>
      </c>
      <c r="J71" s="2" t="n">
        <f aca="false">ASIN((E71-E70)/H71)*180/PI()</f>
        <v>37.3224106426532</v>
      </c>
      <c r="L71" s="6" t="n">
        <f aca="false">C71-C70</f>
        <v>-0.429999999993015</v>
      </c>
      <c r="M71" s="6" t="n">
        <f aca="false">D71-D70</f>
        <v>-1.65000000037253</v>
      </c>
      <c r="N71" s="6" t="n">
        <f aca="false">(C71-C70)/(D71-D70)</f>
        <v>0.260606060542989</v>
      </c>
      <c r="O71" s="12" t="n">
        <f aca="false">ATAN((C71-C70)/(D71-D70))*180/PI()</f>
        <v>14.6067373510631</v>
      </c>
      <c r="P71" s="6" t="n">
        <f aca="false">IF(M71&lt;0,O71+180,IF(AND(M71&gt;0,L71&lt;0),O71+360,O71))</f>
        <v>194.606737351063</v>
      </c>
      <c r="Q71" s="6" t="n">
        <f aca="false">P71-1.437</f>
        <v>193.169737351063</v>
      </c>
      <c r="S71" s="6" t="n">
        <f aca="false">F71</f>
        <v>68</v>
      </c>
      <c r="T71" s="6" t="str">
        <f aca="false">G71</f>
        <v>DAV69</v>
      </c>
      <c r="U71" s="6" t="n">
        <f aca="false">H71</f>
        <v>2.14415484543972</v>
      </c>
      <c r="V71" s="6" t="n">
        <f aca="false">Q71</f>
        <v>193.169737351063</v>
      </c>
      <c r="W71" s="2" t="n">
        <f aca="false">J71</f>
        <v>37.3224106426532</v>
      </c>
    </row>
    <row r="72" customFormat="false" ht="12.8" hidden="false" customHeight="false" outlineLevel="0" collapsed="false">
      <c r="A72" s="6" t="s">
        <v>5</v>
      </c>
      <c r="B72" s="1" t="n">
        <v>70</v>
      </c>
      <c r="C72" s="2" t="n">
        <v>351823.02</v>
      </c>
      <c r="D72" s="2" t="n">
        <v>5266279.21</v>
      </c>
      <c r="E72" s="2" t="n">
        <v>2271.4</v>
      </c>
      <c r="F72" s="6" t="n">
        <f aca="false">B71</f>
        <v>69</v>
      </c>
      <c r="G72" s="7" t="str">
        <f aca="false">_xlfn.CONCAT("DAV",B72)</f>
        <v>DAV70</v>
      </c>
      <c r="H72" s="6" t="n">
        <f aca="false">SQRT((C72-C71)^2+(D72-D71)^2+(E72-E71)^2)</f>
        <v>3.43438495212587</v>
      </c>
      <c r="I72" s="6" t="n">
        <f aca="false">MOD((2*180*(ATAN((C71-C72)/(D72-D71))*180/PI())/360), 360)</f>
        <v>315.543071692668</v>
      </c>
      <c r="J72" s="2" t="n">
        <f aca="false">ASIN((E72-E71)/H72)*180/PI()</f>
        <v>29.6693557475942</v>
      </c>
      <c r="L72" s="6" t="n">
        <f aca="false">C72-C71</f>
        <v>-2.0899999999674</v>
      </c>
      <c r="M72" s="6" t="n">
        <f aca="false">D72-D71</f>
        <v>-2.12999999988824</v>
      </c>
      <c r="N72" s="6" t="n">
        <f aca="false">(C72-C71)/(D72-D71)</f>
        <v>0.981220657313175</v>
      </c>
      <c r="O72" s="12" t="n">
        <f aca="false">ATAN((C72-C71)/(D72-D71))*180/PI()</f>
        <v>44.4569283073324</v>
      </c>
      <c r="P72" s="6" t="n">
        <f aca="false">IF(M72&lt;0,O72+180,IF(AND(M72&gt;0,L72&lt;0),O72+360,O72))</f>
        <v>224.456928307332</v>
      </c>
      <c r="Q72" s="6" t="n">
        <f aca="false">P72-1.437</f>
        <v>223.019928307332</v>
      </c>
      <c r="S72" s="6" t="n">
        <f aca="false">F72</f>
        <v>69</v>
      </c>
      <c r="T72" s="6" t="str">
        <f aca="false">G72</f>
        <v>DAV70</v>
      </c>
      <c r="U72" s="6" t="n">
        <f aca="false">H72</f>
        <v>3.43438495212587</v>
      </c>
      <c r="V72" s="6" t="n">
        <f aca="false">Q72</f>
        <v>223.019928307332</v>
      </c>
      <c r="W72" s="2" t="n">
        <f aca="false">J72</f>
        <v>29.6693557475942</v>
      </c>
    </row>
    <row r="73" customFormat="false" ht="12.8" hidden="false" customHeight="false" outlineLevel="0" collapsed="false">
      <c r="A73" s="6" t="s">
        <v>5</v>
      </c>
      <c r="B73" s="1" t="n">
        <v>71</v>
      </c>
      <c r="C73" s="2" t="n">
        <v>351810.13</v>
      </c>
      <c r="D73" s="2" t="n">
        <v>5266267.51</v>
      </c>
      <c r="E73" s="2" t="n">
        <v>2278.3</v>
      </c>
      <c r="F73" s="6" t="n">
        <f aca="false">B72</f>
        <v>70</v>
      </c>
      <c r="G73" s="7" t="str">
        <f aca="false">_xlfn.CONCAT("DAV",B73)</f>
        <v>DAV71</v>
      </c>
      <c r="H73" s="6" t="n">
        <f aca="false">SQRT((C73-C72)^2+(D73-D72)^2+(E73-E72)^2)</f>
        <v>18.7257069293717</v>
      </c>
      <c r="I73" s="6" t="n">
        <f aca="false">MOD((2*180*(ATAN((C72-C73)/(D73-D72))*180/PI())/360), 360)</f>
        <v>312.22940926765</v>
      </c>
      <c r="J73" s="2" t="n">
        <f aca="false">ASIN((E73-E72)/H73)*180/PI()</f>
        <v>21.6217458563557</v>
      </c>
      <c r="L73" s="6" t="n">
        <f aca="false">C73-C72</f>
        <v>-12.890000000014</v>
      </c>
      <c r="M73" s="6" t="n">
        <f aca="false">D73-D72</f>
        <v>-11.7000000001863</v>
      </c>
      <c r="N73" s="6" t="n">
        <f aca="false">(C73-C72)/(D73-D72)</f>
        <v>1.10170940169306</v>
      </c>
      <c r="O73" s="12" t="n">
        <f aca="false">ATAN((C73-C72)/(D73-D72))*180/PI()</f>
        <v>47.7705907323497</v>
      </c>
      <c r="P73" s="6" t="n">
        <f aca="false">IF(M73&lt;0,O73+180,IF(AND(M73&gt;0,L73&lt;0),O73+360,O73))</f>
        <v>227.77059073235</v>
      </c>
      <c r="Q73" s="6" t="n">
        <f aca="false">P73-1.437</f>
        <v>226.33359073235</v>
      </c>
      <c r="S73" s="6" t="n">
        <f aca="false">F73</f>
        <v>70</v>
      </c>
      <c r="T73" s="6" t="str">
        <f aca="false">G73</f>
        <v>DAV71</v>
      </c>
      <c r="U73" s="6" t="n">
        <f aca="false">H73</f>
        <v>18.7257069293717</v>
      </c>
      <c r="V73" s="6" t="n">
        <f aca="false">Q73</f>
        <v>226.33359073235</v>
      </c>
      <c r="W73" s="2" t="n">
        <f aca="false">J73</f>
        <v>21.6217458563557</v>
      </c>
    </row>
    <row r="74" customFormat="false" ht="12.8" hidden="false" customHeight="false" outlineLevel="0" collapsed="false">
      <c r="A74" s="6" t="s">
        <v>5</v>
      </c>
      <c r="B74" s="1" t="n">
        <v>72</v>
      </c>
      <c r="C74" s="2" t="n">
        <v>351808.63</v>
      </c>
      <c r="D74" s="2" t="n">
        <v>5266265.49</v>
      </c>
      <c r="E74" s="2" t="n">
        <v>2279.1</v>
      </c>
      <c r="F74" s="6" t="n">
        <f aca="false">B73</f>
        <v>71</v>
      </c>
      <c r="G74" s="7" t="str">
        <f aca="false">_xlfn.CONCAT("DAV",B74)</f>
        <v>DAV72</v>
      </c>
      <c r="H74" s="6" t="n">
        <f aca="false">SQRT((C74-C73)^2+(D74-D73)^2+(E74-E73)^2)</f>
        <v>2.64015151046177</v>
      </c>
      <c r="I74" s="6" t="n">
        <f aca="false">MOD((2*180*(ATAN((C73-C74)/(D74-D73))*180/PI())/360), 360)</f>
        <v>323.403371084492</v>
      </c>
      <c r="J74" s="2" t="n">
        <f aca="false">ASIN((E74-E73)/H74)*180/PI()</f>
        <v>17.638655863028</v>
      </c>
      <c r="L74" s="6" t="n">
        <f aca="false">C74-C73</f>
        <v>-1.5</v>
      </c>
      <c r="M74" s="6" t="n">
        <f aca="false">D74-D73</f>
        <v>-2.01999999955297</v>
      </c>
      <c r="N74" s="6" t="n">
        <f aca="false">(C74-C73)/(D74-D73)</f>
        <v>0.742574257590078</v>
      </c>
      <c r="O74" s="12" t="n">
        <f aca="false">ATAN((C74-C73)/(D74-D73))*180/PI()</f>
        <v>36.5966289155083</v>
      </c>
      <c r="P74" s="6" t="n">
        <f aca="false">IF(M74&lt;0,O74+180,IF(AND(M74&gt;0,L74&lt;0),O74+360,O74))</f>
        <v>216.596628915508</v>
      </c>
      <c r="Q74" s="6" t="n">
        <f aca="false">P74-1.437</f>
        <v>215.159628915508</v>
      </c>
      <c r="S74" s="6" t="n">
        <f aca="false">F74</f>
        <v>71</v>
      </c>
      <c r="T74" s="6" t="str">
        <f aca="false">G74</f>
        <v>DAV72</v>
      </c>
      <c r="U74" s="6" t="n">
        <f aca="false">H74</f>
        <v>2.64015151046177</v>
      </c>
      <c r="V74" s="6" t="n">
        <f aca="false">Q74</f>
        <v>215.159628915508</v>
      </c>
      <c r="W74" s="2" t="n">
        <f aca="false">J74</f>
        <v>17.638655863028</v>
      </c>
    </row>
    <row r="75" customFormat="false" ht="12.8" hidden="false" customHeight="false" outlineLevel="0" collapsed="false">
      <c r="A75" s="6" t="s">
        <v>5</v>
      </c>
      <c r="B75" s="1" t="n">
        <v>73</v>
      </c>
      <c r="C75" s="2" t="n">
        <v>351807.73</v>
      </c>
      <c r="D75" s="2" t="n">
        <v>5266263.66</v>
      </c>
      <c r="E75" s="2" t="n">
        <v>2280</v>
      </c>
      <c r="F75" s="6" t="n">
        <f aca="false">B74</f>
        <v>72</v>
      </c>
      <c r="G75" s="7" t="str">
        <f aca="false">_xlfn.CONCAT("DAV",B75)</f>
        <v>DAV73</v>
      </c>
      <c r="H75" s="6" t="n">
        <f aca="false">SQRT((C75-C74)^2+(D75-D74)^2+(E75-E74)^2)</f>
        <v>2.22910295866179</v>
      </c>
      <c r="I75" s="6" t="n">
        <f aca="false">MOD((2*180*(ATAN((C74-C75)/(D75-D74))*180/PI())/360), 360)</f>
        <v>333.811889302856</v>
      </c>
      <c r="J75" s="2" t="n">
        <f aca="false">ASIN((E75-E74)/H75)*180/PI()</f>
        <v>23.8128104217945</v>
      </c>
      <c r="L75" s="6" t="n">
        <f aca="false">C75-C74</f>
        <v>-0.900000000023283</v>
      </c>
      <c r="M75" s="6" t="n">
        <f aca="false">D75-D74</f>
        <v>-1.83000000007451</v>
      </c>
      <c r="N75" s="6" t="n">
        <f aca="false">(C75-C74)/(D75-D74)</f>
        <v>0.491803278681225</v>
      </c>
      <c r="O75" s="12" t="n">
        <f aca="false">ATAN((C75-C74)/(D75-D74))*180/PI()</f>
        <v>26.1881106971441</v>
      </c>
      <c r="P75" s="6" t="n">
        <f aca="false">IF(M75&lt;0,O75+180,IF(AND(M75&gt;0,L75&lt;0),O75+360,O75))</f>
        <v>206.188110697144</v>
      </c>
      <c r="Q75" s="6" t="n">
        <f aca="false">P75-1.437</f>
        <v>204.751110697144</v>
      </c>
      <c r="S75" s="6" t="n">
        <f aca="false">F75</f>
        <v>72</v>
      </c>
      <c r="T75" s="6" t="str">
        <f aca="false">G75</f>
        <v>DAV73</v>
      </c>
      <c r="U75" s="6" t="n">
        <f aca="false">H75</f>
        <v>2.22910295866179</v>
      </c>
      <c r="V75" s="6" t="n">
        <f aca="false">Q75</f>
        <v>204.751110697144</v>
      </c>
      <c r="W75" s="2" t="n">
        <f aca="false">J75</f>
        <v>23.8128104217945</v>
      </c>
    </row>
    <row r="76" customFormat="false" ht="12.8" hidden="false" customHeight="false" outlineLevel="0" collapsed="false">
      <c r="A76" s="6" t="s">
        <v>5</v>
      </c>
      <c r="B76" s="1" t="n">
        <v>74</v>
      </c>
      <c r="C76" s="2" t="n">
        <v>351807.09</v>
      </c>
      <c r="D76" s="2" t="n">
        <v>5266261.49</v>
      </c>
      <c r="E76" s="2" t="n">
        <v>2280.1</v>
      </c>
      <c r="F76" s="6" t="n">
        <f aca="false">B75</f>
        <v>73</v>
      </c>
      <c r="G76" s="7" t="str">
        <f aca="false">_xlfn.CONCAT("DAV",B76)</f>
        <v>DAV74</v>
      </c>
      <c r="H76" s="6" t="n">
        <f aca="false">SQRT((C76-C75)^2+(D76-D75)^2+(E76-E75)^2)</f>
        <v>2.26461917319889</v>
      </c>
      <c r="I76" s="6" t="n">
        <f aca="false">MOD((2*180*(ATAN((C75-C76)/(D76-D75))*180/PI())/360), 360)</f>
        <v>343.567584309446</v>
      </c>
      <c r="J76" s="2" t="n">
        <f aca="false">ASIN((E76-E75)/H76)*180/PI()</f>
        <v>2.53086331716029</v>
      </c>
      <c r="L76" s="6" t="n">
        <f aca="false">C76-C75</f>
        <v>-0.639999999955762</v>
      </c>
      <c r="M76" s="6" t="n">
        <f aca="false">D76-D75</f>
        <v>-2.16999999992549</v>
      </c>
      <c r="N76" s="6" t="n">
        <f aca="false">(C76-C75)/(D76-D75)</f>
        <v>0.294930875565777</v>
      </c>
      <c r="O76" s="12" t="n">
        <f aca="false">ATAN((C76-C75)/(D76-D75))*180/PI()</f>
        <v>16.4324156905543</v>
      </c>
      <c r="P76" s="6" t="n">
        <f aca="false">IF(M76&lt;0,O76+180,IF(AND(M76&gt;0,L76&lt;0),O76+360,O76))</f>
        <v>196.432415690554</v>
      </c>
      <c r="Q76" s="6" t="n">
        <f aca="false">P76-1.437</f>
        <v>194.995415690554</v>
      </c>
      <c r="S76" s="6" t="n">
        <f aca="false">F76</f>
        <v>73</v>
      </c>
      <c r="T76" s="6" t="str">
        <f aca="false">G76</f>
        <v>DAV74</v>
      </c>
      <c r="U76" s="6" t="n">
        <f aca="false">H76</f>
        <v>2.26461917319889</v>
      </c>
      <c r="V76" s="6" t="n">
        <f aca="false">Q76</f>
        <v>194.995415690554</v>
      </c>
      <c r="W76" s="2" t="n">
        <f aca="false">J76</f>
        <v>2.53086331716029</v>
      </c>
    </row>
    <row r="77" customFormat="false" ht="12.8" hidden="false" customHeight="false" outlineLevel="0" collapsed="false">
      <c r="A77" s="6" t="s">
        <v>5</v>
      </c>
      <c r="B77" s="1" t="n">
        <v>75</v>
      </c>
      <c r="C77" s="2" t="n">
        <v>351807.05</v>
      </c>
      <c r="D77" s="2" t="n">
        <v>5266259.64</v>
      </c>
      <c r="E77" s="2" t="n">
        <v>2279.7</v>
      </c>
      <c r="F77" s="6" t="n">
        <f aca="false">B76</f>
        <v>74</v>
      </c>
      <c r="G77" s="7" t="str">
        <f aca="false">_xlfn.CONCAT("DAV",B77)</f>
        <v>DAV75</v>
      </c>
      <c r="H77" s="6" t="n">
        <f aca="false">SQRT((C77-C76)^2+(D77-D76)^2+(E77-E76)^2)</f>
        <v>1.89317194202497</v>
      </c>
      <c r="I77" s="6" t="n">
        <f aca="false">MOD((2*180*(ATAN((C76-C77)/(D77-D76))*180/PI())/360), 360)</f>
        <v>358.761365328324</v>
      </c>
      <c r="J77" s="2" t="n">
        <f aca="false">ASIN((E77-E76)/H77)*180/PI()</f>
        <v>-12.1977032663918</v>
      </c>
      <c r="L77" s="6" t="n">
        <f aca="false">C77-C76</f>
        <v>-0.0400000000372529</v>
      </c>
      <c r="M77" s="6" t="n">
        <f aca="false">D77-D76</f>
        <v>-1.85000000055879</v>
      </c>
      <c r="N77" s="6" t="n">
        <f aca="false">(C77-C76)/(D77-D76)</f>
        <v>0.0216216216352275</v>
      </c>
      <c r="O77" s="12" t="n">
        <f aca="false">ATAN((C77-C76)/(D77-D76))*180/PI()</f>
        <v>1.23863467167608</v>
      </c>
      <c r="P77" s="6" t="n">
        <f aca="false">IF(M77&lt;0,O77+180,IF(AND(M77&gt;0,L77&lt;0),O77+360,O77))</f>
        <v>181.238634671676</v>
      </c>
      <c r="Q77" s="6" t="n">
        <f aca="false">P77-1.437</f>
        <v>179.801634671676</v>
      </c>
      <c r="S77" s="6" t="n">
        <f aca="false">F77</f>
        <v>74</v>
      </c>
      <c r="T77" s="6" t="str">
        <f aca="false">G77</f>
        <v>DAV75</v>
      </c>
      <c r="U77" s="6" t="n">
        <f aca="false">H77</f>
        <v>1.89317194202497</v>
      </c>
      <c r="V77" s="6" t="n">
        <f aca="false">Q77</f>
        <v>179.801634671676</v>
      </c>
      <c r="W77" s="2" t="n">
        <f aca="false">J77</f>
        <v>-12.1977032663918</v>
      </c>
    </row>
    <row r="78" customFormat="false" ht="12.8" hidden="false" customHeight="false" outlineLevel="0" collapsed="false">
      <c r="A78" s="6" t="s">
        <v>5</v>
      </c>
      <c r="B78" s="1" t="n">
        <v>76</v>
      </c>
      <c r="C78" s="2" t="n">
        <v>351806.89</v>
      </c>
      <c r="D78" s="2" t="n">
        <v>5266255.01</v>
      </c>
      <c r="E78" s="2" t="n">
        <v>2281.3</v>
      </c>
      <c r="F78" s="6" t="n">
        <f aca="false">B77</f>
        <v>75</v>
      </c>
      <c r="G78" s="7" t="str">
        <f aca="false">_xlfn.CONCAT("DAV",B78)</f>
        <v>DAV76</v>
      </c>
      <c r="H78" s="6" t="n">
        <f aca="false">SQRT((C78-C77)^2+(D78-D77)^2+(E78-E77)^2)</f>
        <v>4.90127534412811</v>
      </c>
      <c r="I78" s="6" t="n">
        <f aca="false">MOD((2*180*(ATAN((C77-C78)/(D78-D77))*180/PI())/360), 360)</f>
        <v>358.02080386193</v>
      </c>
      <c r="J78" s="2" t="n">
        <f aca="false">ASIN((E78-E77)/H78)*180/PI()</f>
        <v>19.0531820882265</v>
      </c>
      <c r="L78" s="6" t="n">
        <f aca="false">C78-C77</f>
        <v>-0.159999999974389</v>
      </c>
      <c r="M78" s="6" t="n">
        <f aca="false">D78-D77</f>
        <v>-4.62999999988824</v>
      </c>
      <c r="N78" s="6" t="n">
        <f aca="false">(C78-C77)/(D78-D77)</f>
        <v>0.0345572354164688</v>
      </c>
      <c r="O78" s="12" t="n">
        <f aca="false">ATAN((C78-C77)/(D78-D77))*180/PI()</f>
        <v>1.97919613807037</v>
      </c>
      <c r="P78" s="6" t="n">
        <f aca="false">IF(M78&lt;0,O78+180,IF(AND(M78&gt;0,L78&lt;0),O78+360,O78))</f>
        <v>181.97919613807</v>
      </c>
      <c r="Q78" s="6" t="n">
        <f aca="false">P78-1.437</f>
        <v>180.54219613807</v>
      </c>
      <c r="S78" s="6" t="n">
        <f aca="false">F78</f>
        <v>75</v>
      </c>
      <c r="T78" s="6" t="str">
        <f aca="false">G78</f>
        <v>DAV76</v>
      </c>
      <c r="U78" s="6" t="n">
        <f aca="false">H78</f>
        <v>4.90127534412811</v>
      </c>
      <c r="V78" s="6" t="n">
        <f aca="false">Q78</f>
        <v>180.54219613807</v>
      </c>
      <c r="W78" s="2" t="n">
        <f aca="false">J78</f>
        <v>19.0531820882265</v>
      </c>
    </row>
    <row r="79" customFormat="false" ht="12.8" hidden="false" customHeight="false" outlineLevel="0" collapsed="false">
      <c r="A79" s="6" t="s">
        <v>5</v>
      </c>
      <c r="B79" s="1" t="n">
        <v>77</v>
      </c>
      <c r="C79" s="2" t="n">
        <v>351808.05</v>
      </c>
      <c r="D79" s="2" t="n">
        <v>5266250.68</v>
      </c>
      <c r="E79" s="2" t="n">
        <v>2284.6</v>
      </c>
      <c r="F79" s="6" t="n">
        <f aca="false">B78</f>
        <v>76</v>
      </c>
      <c r="G79" s="7" t="str">
        <f aca="false">_xlfn.CONCAT("DAV",B79)</f>
        <v>DAV77</v>
      </c>
      <c r="H79" s="6" t="n">
        <f aca="false">SQRT((C79-C78)^2+(D79-D78)^2+(E79-E78)^2)</f>
        <v>5.56637224775562</v>
      </c>
      <c r="I79" s="6" t="n">
        <f aca="false">MOD((2*180*(ATAN((C78-C79)/(D79-D78))*180/PI())/360), 360)</f>
        <v>14.9972838299942</v>
      </c>
      <c r="J79" s="2" t="n">
        <f aca="false">ASIN((E79-E78)/H79)*180/PI()</f>
        <v>36.3592107262167</v>
      </c>
      <c r="L79" s="6" t="n">
        <f aca="false">C79-C78</f>
        <v>1.15999999997439</v>
      </c>
      <c r="M79" s="6" t="n">
        <f aca="false">D79-D78</f>
        <v>-4.33000000007451</v>
      </c>
      <c r="N79" s="6" t="n">
        <f aca="false">(C79-C78)/(D79-D78)</f>
        <v>-0.2678983833613</v>
      </c>
      <c r="O79" s="12" t="n">
        <f aca="false">ATAN((C79-C78)/(D79-D78))*180/PI()</f>
        <v>-14.9972838299942</v>
      </c>
      <c r="P79" s="6" t="n">
        <f aca="false">IF(M79&lt;0,O79+180,IF(AND(M79&gt;0,L79&lt;0),O79+360,O79))</f>
        <v>165.002716170006</v>
      </c>
      <c r="Q79" s="6" t="n">
        <f aca="false">P79-1.437</f>
        <v>163.565716170006</v>
      </c>
      <c r="S79" s="6" t="n">
        <f aca="false">F79</f>
        <v>76</v>
      </c>
      <c r="T79" s="6" t="str">
        <f aca="false">G79</f>
        <v>DAV77</v>
      </c>
      <c r="U79" s="6" t="n">
        <f aca="false">H79</f>
        <v>5.56637224775562</v>
      </c>
      <c r="V79" s="6" t="n">
        <f aca="false">Q79</f>
        <v>163.565716170006</v>
      </c>
      <c r="W79" s="2" t="n">
        <f aca="false">J79</f>
        <v>36.3592107262167</v>
      </c>
    </row>
    <row r="80" customFormat="false" ht="12.8" hidden="false" customHeight="false" outlineLevel="0" collapsed="false">
      <c r="A80" s="6" t="s">
        <v>5</v>
      </c>
      <c r="B80" s="1" t="n">
        <v>78</v>
      </c>
      <c r="C80" s="2" t="n">
        <v>351808.54</v>
      </c>
      <c r="D80" s="2" t="n">
        <v>5266249.02</v>
      </c>
      <c r="E80" s="2" t="n">
        <v>2286</v>
      </c>
      <c r="F80" s="6" t="n">
        <f aca="false">B79</f>
        <v>77</v>
      </c>
      <c r="G80" s="7" t="str">
        <f aca="false">_xlfn.CONCAT("DAV",B80)</f>
        <v>DAV78</v>
      </c>
      <c r="H80" s="6" t="n">
        <f aca="false">SQRT((C80-C79)^2+(D80-D79)^2+(E80-E79)^2)</f>
        <v>2.22614015742178</v>
      </c>
      <c r="I80" s="6" t="n">
        <f aca="false">MOD((2*180*(ATAN((C79-C80)/(D80-D79))*180/PI())/360), 360)</f>
        <v>16.4455844418044</v>
      </c>
      <c r="J80" s="2" t="n">
        <f aca="false">ASIN((E80-E79)/H80)*180/PI()</f>
        <v>38.9683660682757</v>
      </c>
      <c r="L80" s="6" t="n">
        <f aca="false">C80-C79</f>
        <v>0.489999999990687</v>
      </c>
      <c r="M80" s="6" t="n">
        <f aca="false">D80-D79</f>
        <v>-1.66000000014901</v>
      </c>
      <c r="N80" s="6" t="n">
        <f aca="false">(C80-C79)/(D80-D79)</f>
        <v>-0.295180722859459</v>
      </c>
      <c r="O80" s="12" t="n">
        <f aca="false">ATAN((C80-C79)/(D80-D79))*180/PI()</f>
        <v>-16.4455844418044</v>
      </c>
      <c r="P80" s="6" t="n">
        <f aca="false">IF(M80&lt;0,O80+180,IF(AND(M80&gt;0,L80&lt;0),O80+360,O80))</f>
        <v>163.554415558196</v>
      </c>
      <c r="Q80" s="6" t="n">
        <f aca="false">P80-1.437</f>
        <v>162.117415558196</v>
      </c>
      <c r="S80" s="6" t="n">
        <f aca="false">F80</f>
        <v>77</v>
      </c>
      <c r="T80" s="6" t="str">
        <f aca="false">G80</f>
        <v>DAV78</v>
      </c>
      <c r="U80" s="6" t="n">
        <f aca="false">H80</f>
        <v>2.22614015742178</v>
      </c>
      <c r="V80" s="6" t="n">
        <f aca="false">Q80</f>
        <v>162.117415558196</v>
      </c>
      <c r="W80" s="2" t="n">
        <f aca="false">J80</f>
        <v>38.9683660682757</v>
      </c>
    </row>
    <row r="81" customFormat="false" ht="12.8" hidden="false" customHeight="false" outlineLevel="0" collapsed="false">
      <c r="A81" s="6" t="s">
        <v>5</v>
      </c>
      <c r="B81" s="1" t="n">
        <v>79</v>
      </c>
      <c r="C81" s="2" t="n">
        <v>351808.11</v>
      </c>
      <c r="D81" s="2" t="n">
        <v>5266247.38</v>
      </c>
      <c r="E81" s="2" t="n">
        <v>2287.9</v>
      </c>
      <c r="F81" s="6" t="n">
        <f aca="false">B80</f>
        <v>78</v>
      </c>
      <c r="G81" s="7" t="str">
        <f aca="false">_xlfn.CONCAT("DAV",B81)</f>
        <v>DAV79</v>
      </c>
      <c r="H81" s="6" t="n">
        <f aca="false">SQRT((C81-C80)^2+(D81-D80)^2+(E81-E80)^2)</f>
        <v>2.54646814213228</v>
      </c>
      <c r="I81" s="6" t="n">
        <f aca="false">MOD((2*180*(ATAN((C80-C81)/(D81-D80))*180/PI())/360), 360)</f>
        <v>345.30803947012</v>
      </c>
      <c r="J81" s="2" t="n">
        <f aca="false">ASIN((E81-E80)/H81)*180/PI()</f>
        <v>48.2563752805507</v>
      </c>
      <c r="L81" s="6" t="n">
        <f aca="false">C81-C80</f>
        <v>-0.429999999993015</v>
      </c>
      <c r="M81" s="6" t="n">
        <f aca="false">D81-D80</f>
        <v>-1.63999999966472</v>
      </c>
      <c r="N81" s="6" t="n">
        <f aca="false">(C81-C80)/(D81-D80)</f>
        <v>0.262195122000563</v>
      </c>
      <c r="O81" s="12" t="n">
        <f aca="false">ATAN((C81-C80)/(D81-D80))*180/PI()</f>
        <v>14.6919605298802</v>
      </c>
      <c r="P81" s="6" t="n">
        <f aca="false">IF(M81&lt;0,O81+180,IF(AND(M81&gt;0,L81&lt;0),O81+360,O81))</f>
        <v>194.69196052988</v>
      </c>
      <c r="Q81" s="6" t="n">
        <f aca="false">P81-1.437</f>
        <v>193.25496052988</v>
      </c>
      <c r="S81" s="6" t="n">
        <f aca="false">F81</f>
        <v>78</v>
      </c>
      <c r="T81" s="6" t="str">
        <f aca="false">G81</f>
        <v>DAV79</v>
      </c>
      <c r="U81" s="6" t="n">
        <f aca="false">H81</f>
        <v>2.54646814213228</v>
      </c>
      <c r="V81" s="6" t="n">
        <f aca="false">Q81</f>
        <v>193.25496052988</v>
      </c>
      <c r="W81" s="2" t="n">
        <f aca="false">J81</f>
        <v>48.2563752805507</v>
      </c>
    </row>
    <row r="82" customFormat="false" ht="12.8" hidden="false" customHeight="false" outlineLevel="0" collapsed="false">
      <c r="A82" s="6" t="s">
        <v>5</v>
      </c>
      <c r="B82" s="1" t="n">
        <v>80</v>
      </c>
      <c r="C82" s="2" t="n">
        <v>351807.13</v>
      </c>
      <c r="D82" s="2" t="n">
        <v>5266244.82</v>
      </c>
      <c r="E82" s="2" t="n">
        <v>2291.4</v>
      </c>
      <c r="F82" s="6" t="n">
        <f aca="false">B81</f>
        <v>79</v>
      </c>
      <c r="G82" s="7" t="str">
        <f aca="false">_xlfn.CONCAT("DAV",B82)</f>
        <v>DAV80</v>
      </c>
      <c r="H82" s="6" t="n">
        <f aca="false">SQRT((C82-C81)^2+(D82-D81)^2+(E82-E81)^2)</f>
        <v>4.44567205244217</v>
      </c>
      <c r="I82" s="6" t="n">
        <f aca="false">MOD((2*180*(ATAN((C81-C82)/(D82-D81))*180/PI())/360), 360)</f>
        <v>339.05252941035</v>
      </c>
      <c r="J82" s="2" t="n">
        <f aca="false">ASIN((E82-E81)/H82)*180/PI()</f>
        <v>51.9322812051982</v>
      </c>
      <c r="L82" s="6" t="n">
        <f aca="false">C82-C81</f>
        <v>-0.979999999981374</v>
      </c>
      <c r="M82" s="6" t="n">
        <f aca="false">D82-D81</f>
        <v>-2.55999999959022</v>
      </c>
      <c r="N82" s="6" t="n">
        <f aca="false">(C82-C81)/(D82-D81)</f>
        <v>0.382812500054001</v>
      </c>
      <c r="O82" s="12" t="n">
        <f aca="false">ATAN((C82-C81)/(D82-D81))*180/PI()</f>
        <v>20.9474705896497</v>
      </c>
      <c r="P82" s="6" t="n">
        <f aca="false">IF(M82&lt;0,O82+180,IF(AND(M82&gt;0,L82&lt;0),O82+360,O82))</f>
        <v>200.94747058965</v>
      </c>
      <c r="Q82" s="6" t="n">
        <f aca="false">P82-1.437</f>
        <v>199.51047058965</v>
      </c>
      <c r="S82" s="6" t="n">
        <f aca="false">F82</f>
        <v>79</v>
      </c>
      <c r="T82" s="6" t="str">
        <f aca="false">G82</f>
        <v>DAV80</v>
      </c>
      <c r="U82" s="6" t="n">
        <f aca="false">H82</f>
        <v>4.44567205244217</v>
      </c>
      <c r="V82" s="6" t="n">
        <f aca="false">Q82</f>
        <v>199.51047058965</v>
      </c>
      <c r="W82" s="2" t="n">
        <f aca="false">J82</f>
        <v>51.9322812051982</v>
      </c>
    </row>
    <row r="83" customFormat="false" ht="12.8" hidden="false" customHeight="false" outlineLevel="0" collapsed="false">
      <c r="A83" s="6" t="s">
        <v>5</v>
      </c>
      <c r="B83" s="1" t="n">
        <v>81</v>
      </c>
      <c r="C83" s="2" t="n">
        <v>351797.31</v>
      </c>
      <c r="D83" s="2" t="n">
        <v>5266227.83</v>
      </c>
      <c r="E83" s="2" t="n">
        <v>2305.3</v>
      </c>
      <c r="F83" s="6" t="n">
        <f aca="false">B82</f>
        <v>80</v>
      </c>
      <c r="G83" s="7" t="str">
        <f aca="false">_xlfn.CONCAT("DAV",B83)</f>
        <v>DAV81</v>
      </c>
      <c r="H83" s="6" t="n">
        <f aca="false">SQRT((C83-C82)^2+(D83-D82)^2+(E83-E82)^2)</f>
        <v>24.0479209082144</v>
      </c>
      <c r="I83" s="6" t="n">
        <f aca="false">MOD((2*180*(ATAN((C82-C83)/(D83-D82))*180/PI())/360), 360)</f>
        <v>329.972643853896</v>
      </c>
      <c r="J83" s="2" t="n">
        <f aca="false">ASIN((E83-E82)/H83)*180/PI()</f>
        <v>35.3108768116571</v>
      </c>
      <c r="L83" s="6" t="n">
        <f aca="false">C83-C82</f>
        <v>-9.82000000000699</v>
      </c>
      <c r="M83" s="6" t="n">
        <f aca="false">D83-D82</f>
        <v>-16.9900000002235</v>
      </c>
      <c r="N83" s="6" t="n">
        <f aca="false">(C83-C82)/(D83-D82)</f>
        <v>0.577987051199399</v>
      </c>
      <c r="O83" s="12" t="n">
        <f aca="false">ATAN((C83-C82)/(D83-D82))*180/PI()</f>
        <v>30.0273561461044</v>
      </c>
      <c r="P83" s="6" t="n">
        <f aca="false">IF(M83&lt;0,O83+180,IF(AND(M83&gt;0,L83&lt;0),O83+360,O83))</f>
        <v>210.027356146104</v>
      </c>
      <c r="Q83" s="6" t="n">
        <f aca="false">P83-1.437</f>
        <v>208.590356146104</v>
      </c>
      <c r="S83" s="6" t="n">
        <f aca="false">F83</f>
        <v>80</v>
      </c>
      <c r="T83" s="6" t="str">
        <f aca="false">G83</f>
        <v>DAV81</v>
      </c>
      <c r="U83" s="6" t="n">
        <f aca="false">H83</f>
        <v>24.0479209082144</v>
      </c>
      <c r="V83" s="6" t="n">
        <f aca="false">Q83</f>
        <v>208.590356146104</v>
      </c>
      <c r="W83" s="2" t="n">
        <f aca="false">J83</f>
        <v>35.3108768116571</v>
      </c>
    </row>
    <row r="84" customFormat="false" ht="12.8" hidden="false" customHeight="false" outlineLevel="0" collapsed="false">
      <c r="A84" s="6" t="s">
        <v>5</v>
      </c>
      <c r="B84" s="1" t="n">
        <v>82</v>
      </c>
      <c r="C84" s="2" t="n">
        <v>351873.13</v>
      </c>
      <c r="D84" s="2" t="n">
        <v>5266104.62</v>
      </c>
      <c r="E84" s="2" t="n">
        <v>2350.2</v>
      </c>
      <c r="F84" s="6" t="n">
        <f aca="false">B83</f>
        <v>81</v>
      </c>
      <c r="G84" s="7" t="str">
        <f aca="false">_xlfn.CONCAT("DAV",B84)</f>
        <v>DAV82</v>
      </c>
      <c r="H84" s="6" t="n">
        <f aca="false">SQRT((C84-C83)^2+(D84-D83)^2+(E84-E83)^2)</f>
        <v>151.477346491123</v>
      </c>
      <c r="I84" s="6" t="n">
        <f aca="false">MOD((2*180*(ATAN((C83-C84)/(D84-D83))*180/PI())/360), 360)</f>
        <v>31.6069833309036</v>
      </c>
      <c r="J84" s="2" t="n">
        <f aca="false">ASIN((E84-E83)/H84)*180/PI()</f>
        <v>17.2423439351392</v>
      </c>
      <c r="L84" s="6" t="n">
        <f aca="false">C84-C83</f>
        <v>75.820000000007</v>
      </c>
      <c r="M84" s="6" t="n">
        <f aca="false">D84-D83</f>
        <v>-123.209999999963</v>
      </c>
      <c r="N84" s="6" t="n">
        <f aca="false">(C84-C83)/(D84-D83)</f>
        <v>-0.615372128885885</v>
      </c>
      <c r="O84" s="12" t="n">
        <f aca="false">ATAN((C84-C83)/(D84-D83))*180/PI()</f>
        <v>-31.6069833309036</v>
      </c>
      <c r="P84" s="6" t="n">
        <f aca="false">IF(M84&lt;0,O84+180,IF(AND(M84&gt;0,L84&lt;0),O84+360,O84))</f>
        <v>148.393016669096</v>
      </c>
      <c r="Q84" s="6" t="n">
        <f aca="false">P84-1.437</f>
        <v>146.956016669096</v>
      </c>
      <c r="S84" s="6" t="n">
        <f aca="false">F84</f>
        <v>81</v>
      </c>
      <c r="T84" s="6" t="str">
        <f aca="false">G84</f>
        <v>DAV82</v>
      </c>
      <c r="U84" s="6" t="n">
        <f aca="false">H84</f>
        <v>151.477346491123</v>
      </c>
      <c r="V84" s="6" t="n">
        <f aca="false">Q84</f>
        <v>146.956016669096</v>
      </c>
      <c r="W84" s="2" t="n">
        <f aca="false">J84</f>
        <v>17.2423439351392</v>
      </c>
    </row>
    <row r="85" customFormat="false" ht="12.8" hidden="false" customHeight="false" outlineLevel="0" collapsed="false">
      <c r="A85" s="6" t="s">
        <v>5</v>
      </c>
      <c r="B85" s="1" t="n">
        <v>83</v>
      </c>
      <c r="C85" s="2" t="n">
        <v>351937.61</v>
      </c>
      <c r="D85" s="2" t="n">
        <v>5266031.43</v>
      </c>
      <c r="E85" s="2" t="n">
        <v>2334.5</v>
      </c>
      <c r="F85" s="6" t="n">
        <f aca="false">B84</f>
        <v>82</v>
      </c>
      <c r="G85" s="7" t="str">
        <f aca="false">_xlfn.CONCAT("DAV",B85)</f>
        <v>DAV83</v>
      </c>
      <c r="H85" s="6" t="n">
        <f aca="false">SQRT((C85-C84)^2+(D85-D84)^2+(E85-E84)^2)</f>
        <v>98.7974518905097</v>
      </c>
      <c r="I85" s="6" t="n">
        <f aca="false">MOD((2*180*(ATAN((C84-C85)/(D85-D84))*180/PI())/360), 360)</f>
        <v>41.3798795459059</v>
      </c>
      <c r="J85" s="2" t="n">
        <f aca="false">ASIN((E85-E84)/H85)*180/PI()</f>
        <v>-9.14369132617043</v>
      </c>
      <c r="L85" s="6" t="n">
        <f aca="false">C85-C84</f>
        <v>64.4799999999814</v>
      </c>
      <c r="M85" s="6" t="n">
        <f aca="false">D85-D84</f>
        <v>-73.1900000004098</v>
      </c>
      <c r="N85" s="6" t="n">
        <f aca="false">(C85-C84)/(D85-D84)</f>
        <v>-0.88099467139801</v>
      </c>
      <c r="O85" s="12" t="n">
        <f aca="false">ATAN((C85-C84)/(D85-D84))*180/PI()</f>
        <v>-41.3798795459059</v>
      </c>
      <c r="P85" s="6" t="n">
        <f aca="false">IF(M85&lt;0,O85+180,IF(AND(M85&gt;0,L85&lt;0),O85+360,O85))</f>
        <v>138.620120454094</v>
      </c>
      <c r="Q85" s="6" t="n">
        <f aca="false">P85-1.437</f>
        <v>137.183120454094</v>
      </c>
      <c r="S85" s="6" t="n">
        <f aca="false">F85</f>
        <v>82</v>
      </c>
      <c r="T85" s="6" t="str">
        <f aca="false">G85</f>
        <v>DAV83</v>
      </c>
      <c r="U85" s="6" t="n">
        <f aca="false">H85</f>
        <v>98.7974518905097</v>
      </c>
      <c r="V85" s="6" t="n">
        <f aca="false">Q85</f>
        <v>137.183120454094</v>
      </c>
      <c r="W85" s="2" t="n">
        <f aca="false">J85</f>
        <v>-9.14369132617043</v>
      </c>
    </row>
    <row r="86" customFormat="false" ht="12.8" hidden="false" customHeight="false" outlineLevel="0" collapsed="false">
      <c r="A86" s="6" t="s">
        <v>5</v>
      </c>
      <c r="B86" s="1" t="n">
        <v>84</v>
      </c>
      <c r="C86" s="2" t="n">
        <v>351939.8</v>
      </c>
      <c r="D86" s="2" t="n">
        <v>5266023.78</v>
      </c>
      <c r="E86" s="2" t="n">
        <v>2331.7</v>
      </c>
      <c r="F86" s="6" t="n">
        <f aca="false">B85</f>
        <v>83</v>
      </c>
      <c r="G86" s="7" t="str">
        <f aca="false">_xlfn.CONCAT("DAV",B86)</f>
        <v>DAV84</v>
      </c>
      <c r="H86" s="6" t="n">
        <f aca="false">SQRT((C86-C85)^2+(D86-D85)^2+(E86-E85)^2)</f>
        <v>8.43555570140235</v>
      </c>
      <c r="I86" s="6" t="n">
        <f aca="false">MOD((2*180*(ATAN((C85-C86)/(D86-D85))*180/PI())/360), 360)</f>
        <v>15.9750674579195</v>
      </c>
      <c r="J86" s="2" t="n">
        <f aca="false">ASIN((E86-E85)/H86)*180/PI()</f>
        <v>-19.3858597338629</v>
      </c>
      <c r="L86" s="6" t="n">
        <f aca="false">C86-C85</f>
        <v>2.19000000000233</v>
      </c>
      <c r="M86" s="6" t="n">
        <f aca="false">D86-D85</f>
        <v>-7.64999999944121</v>
      </c>
      <c r="N86" s="6" t="n">
        <f aca="false">(C86-C85)/(D86-D85)</f>
        <v>-0.286274509825137</v>
      </c>
      <c r="O86" s="12" t="n">
        <f aca="false">ATAN((C86-C85)/(D86-D85))*180/PI()</f>
        <v>-15.9750674579195</v>
      </c>
      <c r="P86" s="6" t="n">
        <f aca="false">IF(M86&lt;0,O86+180,IF(AND(M86&gt;0,L86&lt;0),O86+360,O86))</f>
        <v>164.02493254208</v>
      </c>
      <c r="Q86" s="6" t="n">
        <f aca="false">P86-1.437</f>
        <v>162.58793254208</v>
      </c>
      <c r="S86" s="6" t="n">
        <f aca="false">F86</f>
        <v>83</v>
      </c>
      <c r="T86" s="6" t="str">
        <f aca="false">G86</f>
        <v>DAV84</v>
      </c>
      <c r="U86" s="6" t="n">
        <f aca="false">H86</f>
        <v>8.43555570140235</v>
      </c>
      <c r="V86" s="6" t="n">
        <f aca="false">Q86</f>
        <v>162.58793254208</v>
      </c>
      <c r="W86" s="2" t="n">
        <f aca="false">J86</f>
        <v>-19.3858597338629</v>
      </c>
    </row>
    <row r="87" customFormat="false" ht="12.8" hidden="false" customHeight="false" outlineLevel="0" collapsed="false">
      <c r="A87" s="6" t="s">
        <v>5</v>
      </c>
      <c r="B87" s="1" t="n">
        <v>85</v>
      </c>
      <c r="C87" s="2" t="n">
        <v>351942.15</v>
      </c>
      <c r="D87" s="2" t="n">
        <v>5266017.9</v>
      </c>
      <c r="E87" s="2" t="n">
        <v>2331</v>
      </c>
      <c r="F87" s="6" t="n">
        <f aca="false">B86</f>
        <v>84</v>
      </c>
      <c r="G87" s="7" t="str">
        <f aca="false">_xlfn.CONCAT("DAV",B87)</f>
        <v>DAV85</v>
      </c>
      <c r="H87" s="6" t="n">
        <f aca="false">SQRT((C87-C86)^2+(D87-D86)^2+(E87-E86)^2)</f>
        <v>6.37078488091143</v>
      </c>
      <c r="I87" s="6" t="n">
        <f aca="false">MOD((2*180*(ATAN((C86-C87)/(D87-D86))*180/PI())/360), 360)</f>
        <v>21.7846072061201</v>
      </c>
      <c r="J87" s="2" t="n">
        <f aca="false">ASIN((E87-E86)/H87)*180/PI()</f>
        <v>-6.30820050435584</v>
      </c>
      <c r="L87" s="6" t="n">
        <f aca="false">C87-C86</f>
        <v>2.35000000003492</v>
      </c>
      <c r="M87" s="6" t="n">
        <f aca="false">D87-D86</f>
        <v>-5.87999999988824</v>
      </c>
      <c r="N87" s="6" t="n">
        <f aca="false">(C87-C86)/(D87-D86)</f>
        <v>-0.399659863959114</v>
      </c>
      <c r="O87" s="12" t="n">
        <f aca="false">ATAN((C87-C86)/(D87-D86))*180/PI()</f>
        <v>-21.7846072061201</v>
      </c>
      <c r="P87" s="6" t="n">
        <f aca="false">IF(M87&lt;0,O87+180,IF(AND(M87&gt;0,L87&lt;0),O87+360,O87))</f>
        <v>158.21539279388</v>
      </c>
      <c r="Q87" s="6" t="n">
        <f aca="false">P87-1.437</f>
        <v>156.77839279388</v>
      </c>
      <c r="S87" s="6" t="n">
        <f aca="false">F87</f>
        <v>84</v>
      </c>
      <c r="T87" s="6" t="str">
        <f aca="false">G87</f>
        <v>DAV85</v>
      </c>
      <c r="U87" s="6" t="n">
        <f aca="false">H87</f>
        <v>6.37078488091143</v>
      </c>
      <c r="V87" s="6" t="n">
        <f aca="false">Q87</f>
        <v>156.77839279388</v>
      </c>
      <c r="W87" s="2" t="n">
        <f aca="false">J87</f>
        <v>-6.30820050435584</v>
      </c>
    </row>
    <row r="88" customFormat="false" ht="12.8" hidden="false" customHeight="false" outlineLevel="0" collapsed="false">
      <c r="A88" s="6" t="s">
        <v>5</v>
      </c>
      <c r="B88" s="1" t="n">
        <v>86</v>
      </c>
      <c r="C88" s="2" t="n">
        <v>351943.97</v>
      </c>
      <c r="D88" s="2" t="n">
        <v>5266012.31</v>
      </c>
      <c r="E88" s="2" t="n">
        <v>2329.6</v>
      </c>
      <c r="F88" s="6" t="n">
        <f aca="false">B87</f>
        <v>85</v>
      </c>
      <c r="G88" s="7" t="str">
        <f aca="false">_xlfn.CONCAT("DAV",B88)</f>
        <v>DAV86</v>
      </c>
      <c r="H88" s="6" t="n">
        <f aca="false">SQRT((C88-C87)^2+(D88-D87)^2+(E88-E87)^2)</f>
        <v>6.04321934142391</v>
      </c>
      <c r="I88" s="6" t="n">
        <f aca="false">MOD((2*180*(ATAN((C87-C88)/(D88-D87))*180/PI())/360), 360)</f>
        <v>18.0342855642947</v>
      </c>
      <c r="J88" s="2" t="n">
        <f aca="false">ASIN((E88-E87)/H88)*180/PI()</f>
        <v>-13.3950936192651</v>
      </c>
      <c r="L88" s="6" t="n">
        <f aca="false">C88-C87</f>
        <v>1.81999999994878</v>
      </c>
      <c r="M88" s="6" t="n">
        <f aca="false">D88-D87</f>
        <v>-5.59000000078231</v>
      </c>
      <c r="N88" s="6" t="n">
        <f aca="false">(C88-C87)/(D88-D87)</f>
        <v>-0.325581395294109</v>
      </c>
      <c r="O88" s="12" t="n">
        <f aca="false">ATAN((C88-C87)/(D88-D87))*180/PI()</f>
        <v>-18.0342855642947</v>
      </c>
      <c r="P88" s="6" t="n">
        <f aca="false">IF(M88&lt;0,O88+180,IF(AND(M88&gt;0,L88&lt;0),O88+360,O88))</f>
        <v>161.965714435705</v>
      </c>
      <c r="Q88" s="6" t="n">
        <f aca="false">P88-1.437</f>
        <v>160.528714435705</v>
      </c>
      <c r="S88" s="6" t="n">
        <f aca="false">F88</f>
        <v>85</v>
      </c>
      <c r="T88" s="6" t="str">
        <f aca="false">G88</f>
        <v>DAV86</v>
      </c>
      <c r="U88" s="6" t="n">
        <f aca="false">H88</f>
        <v>6.04321934142391</v>
      </c>
      <c r="V88" s="6" t="n">
        <f aca="false">Q88</f>
        <v>160.528714435705</v>
      </c>
      <c r="W88" s="2" t="n">
        <f aca="false">J88</f>
        <v>-13.3950936192651</v>
      </c>
    </row>
    <row r="89" customFormat="false" ht="12.8" hidden="false" customHeight="false" outlineLevel="0" collapsed="false">
      <c r="A89" s="6" t="s">
        <v>5</v>
      </c>
      <c r="B89" s="1" t="n">
        <v>87</v>
      </c>
      <c r="C89" s="2" t="n">
        <v>351946.23</v>
      </c>
      <c r="D89" s="2" t="n">
        <v>5266002.73</v>
      </c>
      <c r="E89" s="2" t="n">
        <v>2326.2</v>
      </c>
      <c r="F89" s="6" t="n">
        <f aca="false">B88</f>
        <v>86</v>
      </c>
      <c r="G89" s="7" t="str">
        <f aca="false">_xlfn.CONCAT("DAV",B89)</f>
        <v>DAV87</v>
      </c>
      <c r="H89" s="6" t="n">
        <f aca="false">SQRT((C89-C88)^2+(D89-D88)^2+(E89-E88)^2)</f>
        <v>10.4136448942542</v>
      </c>
      <c r="I89" s="6" t="n">
        <f aca="false">MOD((2*180*(ATAN((C88-C89)/(D89-D88))*180/PI())/360), 360)</f>
        <v>13.2738507907597</v>
      </c>
      <c r="J89" s="2" t="n">
        <f aca="false">ASIN((E89-E88)/H89)*180/PI()</f>
        <v>-19.0561563333855</v>
      </c>
      <c r="L89" s="6" t="n">
        <f aca="false">C89-C88</f>
        <v>2.26000000000931</v>
      </c>
      <c r="M89" s="6" t="n">
        <f aca="false">D89-D88</f>
        <v>-9.57999999914318</v>
      </c>
      <c r="N89" s="6" t="n">
        <f aca="false">(C89-C88)/(D89-D88)</f>
        <v>-0.235908141984493</v>
      </c>
      <c r="O89" s="12" t="n">
        <f aca="false">ATAN((C89-C88)/(D89-D88))*180/PI()</f>
        <v>-13.2738507907597</v>
      </c>
      <c r="P89" s="6" t="n">
        <f aca="false">IF(M89&lt;0,O89+180,IF(AND(M89&gt;0,L89&lt;0),O89+360,O89))</f>
        <v>166.72614920924</v>
      </c>
      <c r="Q89" s="6" t="n">
        <f aca="false">P89-1.437</f>
        <v>165.28914920924</v>
      </c>
      <c r="S89" s="6" t="n">
        <f aca="false">F89</f>
        <v>86</v>
      </c>
      <c r="T89" s="6" t="str">
        <f aca="false">G89</f>
        <v>DAV87</v>
      </c>
      <c r="U89" s="6" t="n">
        <f aca="false">H89</f>
        <v>10.4136448942542</v>
      </c>
      <c r="V89" s="6" t="n">
        <f aca="false">Q89</f>
        <v>165.28914920924</v>
      </c>
      <c r="W89" s="2" t="n">
        <f aca="false">J89</f>
        <v>-19.0561563333855</v>
      </c>
    </row>
    <row r="90" customFormat="false" ht="12.8" hidden="false" customHeight="false" outlineLevel="0" collapsed="false">
      <c r="A90" s="6" t="s">
        <v>5</v>
      </c>
      <c r="B90" s="1" t="n">
        <v>88</v>
      </c>
      <c r="C90" s="2" t="n">
        <v>351949.73</v>
      </c>
      <c r="D90" s="2" t="n">
        <v>5265992.86</v>
      </c>
      <c r="E90" s="2" t="n">
        <v>2323.9</v>
      </c>
      <c r="F90" s="6" t="n">
        <f aca="false">B89</f>
        <v>87</v>
      </c>
      <c r="G90" s="7" t="str">
        <f aca="false">_xlfn.CONCAT("DAV",B90)</f>
        <v>DAV88</v>
      </c>
      <c r="H90" s="6" t="n">
        <f aca="false">SQRT((C90-C89)^2+(D90-D89)^2+(E90-E89)^2)</f>
        <v>10.7217955586835</v>
      </c>
      <c r="I90" s="6" t="n">
        <f aca="false">MOD((2*180*(ATAN((C89-C90)/(D90-D89))*180/PI())/360), 360)</f>
        <v>19.5250118209306</v>
      </c>
      <c r="J90" s="2" t="n">
        <f aca="false">ASIN((E90-E89)/H90)*180/PI()</f>
        <v>-12.3871517229601</v>
      </c>
      <c r="L90" s="6" t="n">
        <f aca="false">C90-C89</f>
        <v>3.5</v>
      </c>
      <c r="M90" s="6" t="n">
        <f aca="false">D90-D89</f>
        <v>-9.87000000011176</v>
      </c>
      <c r="N90" s="6" t="n">
        <f aca="false">(C90-C89)/(D90-D89)</f>
        <v>-0.354609929073999</v>
      </c>
      <c r="O90" s="12" t="n">
        <f aca="false">ATAN((C90-C89)/(D90-D89))*180/PI()</f>
        <v>-19.5250118209306</v>
      </c>
      <c r="P90" s="6" t="n">
        <f aca="false">IF(M90&lt;0,O90+180,IF(AND(M90&gt;0,L90&lt;0),O90+360,O90))</f>
        <v>160.474988179069</v>
      </c>
      <c r="Q90" s="6" t="n">
        <f aca="false">P90-1.437</f>
        <v>159.037988179069</v>
      </c>
      <c r="S90" s="6" t="n">
        <f aca="false">F90</f>
        <v>87</v>
      </c>
      <c r="T90" s="6" t="str">
        <f aca="false">G90</f>
        <v>DAV88</v>
      </c>
      <c r="U90" s="6" t="n">
        <f aca="false">H90</f>
        <v>10.7217955586835</v>
      </c>
      <c r="V90" s="6" t="n">
        <f aca="false">Q90</f>
        <v>159.037988179069</v>
      </c>
      <c r="W90" s="2" t="n">
        <f aca="false">J90</f>
        <v>-12.3871517229601</v>
      </c>
    </row>
    <row r="91" customFormat="false" ht="12.8" hidden="false" customHeight="false" outlineLevel="0" collapsed="false">
      <c r="A91" s="6" t="s">
        <v>5</v>
      </c>
      <c r="B91" s="1" t="n">
        <v>89</v>
      </c>
      <c r="C91" s="2" t="n">
        <v>351951.27</v>
      </c>
      <c r="D91" s="2" t="n">
        <v>5265986.65</v>
      </c>
      <c r="E91" s="2" t="n">
        <v>2322.3</v>
      </c>
      <c r="F91" s="6" t="n">
        <f aca="false">B90</f>
        <v>88</v>
      </c>
      <c r="G91" s="7" t="str">
        <f aca="false">_xlfn.CONCAT("DAV",B91)</f>
        <v>DAV89</v>
      </c>
      <c r="H91" s="6" t="n">
        <f aca="false">SQRT((C91-C90)^2+(D91-D90)^2+(E91-E90)^2)</f>
        <v>6.59512698889504</v>
      </c>
      <c r="I91" s="6" t="n">
        <f aca="false">MOD((2*180*(ATAN((C90-C91)/(D91-D90))*180/PI())/360), 360)</f>
        <v>13.9276465939891</v>
      </c>
      <c r="J91" s="2" t="n">
        <f aca="false">ASIN((E91-E90)/H91)*180/PI()</f>
        <v>-14.0402441657209</v>
      </c>
      <c r="L91" s="6" t="n">
        <f aca="false">C91-C90</f>
        <v>1.54000000003725</v>
      </c>
      <c r="M91" s="6" t="n">
        <f aca="false">D91-D90</f>
        <v>-6.20999999996275</v>
      </c>
      <c r="N91" s="6" t="n">
        <f aca="false">(C91-C90)/(D91-D90)</f>
        <v>-0.247987117559821</v>
      </c>
      <c r="O91" s="12" t="n">
        <f aca="false">ATAN((C91-C90)/(D91-D90))*180/PI()</f>
        <v>-13.9276465939891</v>
      </c>
      <c r="P91" s="6" t="n">
        <f aca="false">IF(M91&lt;0,O91+180,IF(AND(M91&gt;0,L91&lt;0),O91+360,O91))</f>
        <v>166.072353406011</v>
      </c>
      <c r="Q91" s="6" t="n">
        <f aca="false">P91-1.437</f>
        <v>164.635353406011</v>
      </c>
      <c r="S91" s="6" t="n">
        <f aca="false">F91</f>
        <v>88</v>
      </c>
      <c r="T91" s="6" t="str">
        <f aca="false">G91</f>
        <v>DAV89</v>
      </c>
      <c r="U91" s="6" t="n">
        <f aca="false">H91</f>
        <v>6.59512698889504</v>
      </c>
      <c r="V91" s="6" t="n">
        <f aca="false">Q91</f>
        <v>164.635353406011</v>
      </c>
      <c r="W91" s="2" t="n">
        <f aca="false">J91</f>
        <v>-14.0402441657209</v>
      </c>
    </row>
    <row r="92" customFormat="false" ht="12.8" hidden="false" customHeight="false" outlineLevel="0" collapsed="false">
      <c r="A92" s="6" t="s">
        <v>5</v>
      </c>
      <c r="B92" s="1" t="n">
        <v>90</v>
      </c>
      <c r="C92" s="2" t="n">
        <v>351951.82</v>
      </c>
      <c r="D92" s="2" t="n">
        <v>5265983.28</v>
      </c>
      <c r="E92" s="2" t="n">
        <v>2321.3</v>
      </c>
      <c r="F92" s="6" t="n">
        <f aca="false">B91</f>
        <v>89</v>
      </c>
      <c r="G92" s="7" t="str">
        <f aca="false">_xlfn.CONCAT("DAV",B92)</f>
        <v>DAV90</v>
      </c>
      <c r="H92" s="6" t="n">
        <f aca="false">SQRT((C92-C91)^2+(D92-D91)^2+(E92-E91)^2)</f>
        <v>3.55800505912238</v>
      </c>
      <c r="I92" s="6" t="n">
        <f aca="false">MOD((2*180*(ATAN((C91-C92)/(D92-D91))*180/PI())/360), 360)</f>
        <v>9.26922209290632</v>
      </c>
      <c r="J92" s="2" t="n">
        <f aca="false">ASIN((E92-E91)/H92)*180/PI()</f>
        <v>-16.323262510809</v>
      </c>
      <c r="L92" s="6" t="n">
        <f aca="false">C92-C91</f>
        <v>0.549999999988359</v>
      </c>
      <c r="M92" s="6" t="n">
        <f aca="false">D92-D91</f>
        <v>-3.37000000011176</v>
      </c>
      <c r="N92" s="6" t="n">
        <f aca="false">(C92-C91)/(D92-D91)</f>
        <v>-0.163204747765614</v>
      </c>
      <c r="O92" s="12" t="n">
        <f aca="false">ATAN((C92-C91)/(D92-D91))*180/PI()</f>
        <v>-9.26922209290632</v>
      </c>
      <c r="P92" s="6" t="n">
        <f aca="false">IF(M92&lt;0,O92+180,IF(AND(M92&gt;0,L92&lt;0),O92+360,O92))</f>
        <v>170.730777907094</v>
      </c>
      <c r="Q92" s="6" t="n">
        <f aca="false">P92-1.437</f>
        <v>169.293777907094</v>
      </c>
      <c r="S92" s="6" t="n">
        <f aca="false">F92</f>
        <v>89</v>
      </c>
      <c r="T92" s="6" t="str">
        <f aca="false">G92</f>
        <v>DAV90</v>
      </c>
      <c r="U92" s="6" t="n">
        <f aca="false">H92</f>
        <v>3.55800505912238</v>
      </c>
      <c r="V92" s="6" t="n">
        <f aca="false">Q92</f>
        <v>169.293777907094</v>
      </c>
      <c r="W92" s="2" t="n">
        <f aca="false">J92</f>
        <v>-16.323262510809</v>
      </c>
    </row>
    <row r="93" customFormat="false" ht="12.8" hidden="false" customHeight="false" outlineLevel="0" collapsed="false">
      <c r="A93" s="6" t="s">
        <v>5</v>
      </c>
      <c r="B93" s="1" t="n">
        <v>91</v>
      </c>
      <c r="C93" s="2" t="n">
        <v>351953.43</v>
      </c>
      <c r="D93" s="2" t="n">
        <v>5265976.1</v>
      </c>
      <c r="E93" s="2" t="n">
        <v>2318.4</v>
      </c>
      <c r="F93" s="6" t="n">
        <f aca="false">B92</f>
        <v>90</v>
      </c>
      <c r="G93" s="7" t="str">
        <f aca="false">_xlfn.CONCAT("DAV",B93)</f>
        <v>DAV91</v>
      </c>
      <c r="H93" s="6" t="n">
        <f aca="false">SQRT((C93-C92)^2+(D93-D92)^2+(E93-E92)^2)</f>
        <v>7.90914028254966</v>
      </c>
      <c r="I93" s="6" t="n">
        <f aca="false">MOD((2*180*(ATAN((C92-C93)/(D93-D92))*180/PI())/360), 360)</f>
        <v>12.6386019623821</v>
      </c>
      <c r="J93" s="2" t="n">
        <f aca="false">ASIN((E93-E92)/H93)*180/PI()</f>
        <v>-21.5100473020973</v>
      </c>
      <c r="L93" s="6" t="n">
        <f aca="false">C93-C92</f>
        <v>1.60999999998603</v>
      </c>
      <c r="M93" s="6" t="n">
        <f aca="false">D93-D92</f>
        <v>-7.1800000006333</v>
      </c>
      <c r="N93" s="6" t="n">
        <f aca="false">(C93-C92)/(D93-D92)</f>
        <v>-0.224233983265184</v>
      </c>
      <c r="O93" s="12" t="n">
        <f aca="false">ATAN((C93-C92)/(D93-D92))*180/PI()</f>
        <v>-12.6386019623821</v>
      </c>
      <c r="P93" s="6" t="n">
        <f aca="false">IF(M93&lt;0,O93+180,IF(AND(M93&gt;0,L93&lt;0),O93+360,O93))</f>
        <v>167.361398037618</v>
      </c>
      <c r="Q93" s="6" t="n">
        <f aca="false">P93-1.437</f>
        <v>165.924398037618</v>
      </c>
      <c r="S93" s="6" t="n">
        <f aca="false">F93</f>
        <v>90</v>
      </c>
      <c r="T93" s="6" t="str">
        <f aca="false">G93</f>
        <v>DAV91</v>
      </c>
      <c r="U93" s="6" t="n">
        <f aca="false">H93</f>
        <v>7.90914028254966</v>
      </c>
      <c r="V93" s="6" t="n">
        <f aca="false">Q93</f>
        <v>165.924398037618</v>
      </c>
      <c r="W93" s="2" t="n">
        <f aca="false">J93</f>
        <v>-21.5100473020973</v>
      </c>
    </row>
    <row r="94" customFormat="false" ht="12.8" hidden="false" customHeight="false" outlineLevel="0" collapsed="false">
      <c r="A94" s="6" t="s">
        <v>5</v>
      </c>
      <c r="B94" s="1" t="n">
        <v>92</v>
      </c>
      <c r="C94" s="2" t="n">
        <v>351954.94</v>
      </c>
      <c r="D94" s="2" t="n">
        <v>5265973.87</v>
      </c>
      <c r="E94" s="2" t="n">
        <v>2316.7</v>
      </c>
      <c r="F94" s="6" t="n">
        <f aca="false">B93</f>
        <v>91</v>
      </c>
      <c r="G94" s="7" t="str">
        <f aca="false">_xlfn.CONCAT("DAV",B94)</f>
        <v>DAV92</v>
      </c>
      <c r="H94" s="6" t="n">
        <f aca="false">SQRT((C94-C93)^2+(D94-D93)^2+(E94-E93)^2)</f>
        <v>3.18480768616711</v>
      </c>
      <c r="I94" s="6" t="n">
        <f aca="false">MOD((2*180*(ATAN((C93-C94)/(D94-D93))*180/PI())/360), 360)</f>
        <v>34.1031092506153</v>
      </c>
      <c r="J94" s="2" t="n">
        <f aca="false">ASIN((E94-E93)/H94)*180/PI()</f>
        <v>-32.2614958794881</v>
      </c>
      <c r="L94" s="6" t="n">
        <f aca="false">C94-C93</f>
        <v>1.51000000000931</v>
      </c>
      <c r="M94" s="6" t="n">
        <f aca="false">D94-D93</f>
        <v>-2.22999999951571</v>
      </c>
      <c r="N94" s="6" t="n">
        <f aca="false">(C94-C93)/(D94-D93)</f>
        <v>-0.677130044994278</v>
      </c>
      <c r="O94" s="12" t="n">
        <f aca="false">ATAN((C94-C93)/(D94-D93))*180/PI()</f>
        <v>-34.1031092506153</v>
      </c>
      <c r="P94" s="6" t="n">
        <f aca="false">IF(M94&lt;0,O94+180,IF(AND(M94&gt;0,L94&lt;0),O94+360,O94))</f>
        <v>145.896890749385</v>
      </c>
      <c r="Q94" s="6" t="n">
        <f aca="false">P94-1.437</f>
        <v>144.459890749385</v>
      </c>
      <c r="S94" s="6" t="n">
        <f aca="false">F94</f>
        <v>91</v>
      </c>
      <c r="T94" s="6" t="str">
        <f aca="false">G94</f>
        <v>DAV92</v>
      </c>
      <c r="U94" s="6" t="n">
        <f aca="false">H94</f>
        <v>3.18480768616711</v>
      </c>
      <c r="V94" s="6" t="n">
        <f aca="false">Q94</f>
        <v>144.459890749385</v>
      </c>
      <c r="W94" s="2" t="n">
        <f aca="false">J94</f>
        <v>-32.2614958794881</v>
      </c>
    </row>
    <row r="95" customFormat="false" ht="12.8" hidden="false" customHeight="false" outlineLevel="0" collapsed="false">
      <c r="A95" s="6" t="s">
        <v>5</v>
      </c>
      <c r="B95" s="1" t="n">
        <v>93</v>
      </c>
      <c r="C95" s="2" t="n">
        <v>351959.21</v>
      </c>
      <c r="D95" s="2" t="n">
        <v>5265969.34</v>
      </c>
      <c r="E95" s="2" t="n">
        <v>2314.5</v>
      </c>
      <c r="F95" s="6" t="n">
        <f aca="false">B94</f>
        <v>92</v>
      </c>
      <c r="G95" s="7" t="str">
        <f aca="false">_xlfn.CONCAT("DAV",B95)</f>
        <v>DAV93</v>
      </c>
      <c r="H95" s="6" t="n">
        <f aca="false">SQRT((C95-C94)^2+(D95-D94)^2+(E95-E94)^2)</f>
        <v>6.60256010972417</v>
      </c>
      <c r="I95" s="6" t="n">
        <f aca="false">MOD((2*180*(ATAN((C94-C95)/(D95-D94))*180/PI())/360), 360)</f>
        <v>43.3076624675758</v>
      </c>
      <c r="J95" s="2" t="n">
        <f aca="false">ASIN((E95-E94)/H95)*180/PI()</f>
        <v>-19.4633662287618</v>
      </c>
      <c r="L95" s="6" t="n">
        <f aca="false">C95-C94</f>
        <v>4.27000000001863</v>
      </c>
      <c r="M95" s="6" t="n">
        <f aca="false">D95-D94</f>
        <v>-4.53000000026077</v>
      </c>
      <c r="N95" s="6" t="n">
        <f aca="false">(C95-C94)/(D95-D94)</f>
        <v>-0.942604856461992</v>
      </c>
      <c r="O95" s="12" t="n">
        <f aca="false">ATAN((C95-C94)/(D95-D94))*180/PI()</f>
        <v>-43.3076624675758</v>
      </c>
      <c r="P95" s="6" t="n">
        <f aca="false">IF(M95&lt;0,O95+180,IF(AND(M95&gt;0,L95&lt;0),O95+360,O95))</f>
        <v>136.692337532424</v>
      </c>
      <c r="Q95" s="6" t="n">
        <f aca="false">P95-1.437</f>
        <v>135.255337532424</v>
      </c>
      <c r="S95" s="6" t="n">
        <f aca="false">F95</f>
        <v>92</v>
      </c>
      <c r="T95" s="6" t="str">
        <f aca="false">G95</f>
        <v>DAV93</v>
      </c>
      <c r="U95" s="6" t="n">
        <f aca="false">H95</f>
        <v>6.60256010972417</v>
      </c>
      <c r="V95" s="6" t="n">
        <f aca="false">Q95</f>
        <v>135.255337532424</v>
      </c>
      <c r="W95" s="2" t="n">
        <f aca="false">J95</f>
        <v>-19.4633662287618</v>
      </c>
    </row>
    <row r="96" customFormat="false" ht="12.8" hidden="false" customHeight="false" outlineLevel="0" collapsed="false">
      <c r="A96" s="6" t="s">
        <v>5</v>
      </c>
      <c r="B96" s="1" t="n">
        <v>94</v>
      </c>
      <c r="C96" s="2" t="n">
        <v>351962.33</v>
      </c>
      <c r="D96" s="2" t="n">
        <v>5265966.96</v>
      </c>
      <c r="E96" s="2" t="n">
        <v>2307.5</v>
      </c>
      <c r="F96" s="6" t="n">
        <f aca="false">B95</f>
        <v>93</v>
      </c>
      <c r="G96" s="7" t="str">
        <f aca="false">_xlfn.CONCAT("DAV",B96)</f>
        <v>DAV94</v>
      </c>
      <c r="H96" s="6" t="n">
        <f aca="false">SQRT((C96-C95)^2+(D96-D95)^2+(E96-E95)^2)</f>
        <v>8.02488629199436</v>
      </c>
      <c r="I96" s="6" t="n">
        <f aca="false">MOD((2*180*(ATAN((C95-C96)/(D96-D95))*180/PI())/360), 360)</f>
        <v>52.6628688430949</v>
      </c>
      <c r="J96" s="2" t="n">
        <f aca="false">ASIN((E96-E95)/H96)*180/PI()</f>
        <v>-60.7254429171146</v>
      </c>
      <c r="L96" s="6" t="n">
        <f aca="false">C96-C95</f>
        <v>3.11999999999534</v>
      </c>
      <c r="M96" s="6" t="n">
        <f aca="false">D96-D95</f>
        <v>-2.37999999988824</v>
      </c>
      <c r="N96" s="6" t="n">
        <f aca="false">(C96-C95)/(D96-D95)</f>
        <v>-1.3109243698075</v>
      </c>
      <c r="O96" s="12" t="n">
        <f aca="false">ATAN((C96-C95)/(D96-D95))*180/PI()</f>
        <v>-52.6628688430949</v>
      </c>
      <c r="P96" s="6" t="n">
        <f aca="false">IF(M96&lt;0,O96+180,IF(AND(M96&gt;0,L96&lt;0),O96+360,O96))</f>
        <v>127.337131156905</v>
      </c>
      <c r="Q96" s="6" t="n">
        <f aca="false">P96-1.437</f>
        <v>125.900131156905</v>
      </c>
      <c r="S96" s="6" t="n">
        <f aca="false">F96</f>
        <v>93</v>
      </c>
      <c r="T96" s="6" t="str">
        <f aca="false">G96</f>
        <v>DAV94</v>
      </c>
      <c r="U96" s="6" t="n">
        <f aca="false">H96</f>
        <v>8.02488629199436</v>
      </c>
      <c r="V96" s="6" t="n">
        <f aca="false">Q96</f>
        <v>125.900131156905</v>
      </c>
      <c r="W96" s="2" t="n">
        <f aca="false">J96</f>
        <v>-60.7254429171146</v>
      </c>
    </row>
    <row r="97" customFormat="false" ht="12.8" hidden="false" customHeight="false" outlineLevel="0" collapsed="false">
      <c r="A97" s="6" t="s">
        <v>5</v>
      </c>
      <c r="B97" s="1" t="n">
        <v>95</v>
      </c>
      <c r="C97" s="2" t="n">
        <v>351968.78</v>
      </c>
      <c r="D97" s="2" t="n">
        <v>5265962.46</v>
      </c>
      <c r="E97" s="2" t="n">
        <v>2311.1</v>
      </c>
      <c r="F97" s="6" t="n">
        <f aca="false">B96</f>
        <v>94</v>
      </c>
      <c r="G97" s="7" t="str">
        <f aca="false">_xlfn.CONCAT("DAV",B97)</f>
        <v>DAV95</v>
      </c>
      <c r="H97" s="6" t="n">
        <f aca="false">SQRT((C97-C96)^2+(D97-D96)^2+(E97-E96)^2)</f>
        <v>8.64942194601174</v>
      </c>
      <c r="I97" s="6" t="n">
        <f aca="false">MOD((2*180*(ATAN((C96-C97)/(D97-D96))*180/PI())/360), 360)</f>
        <v>55.0975043841238</v>
      </c>
      <c r="J97" s="2" t="n">
        <f aca="false">ASIN((E97-E96)/H97)*180/PI()</f>
        <v>24.5957145993403</v>
      </c>
      <c r="L97" s="6" t="n">
        <f aca="false">C97-C96</f>
        <v>6.45000000001164</v>
      </c>
      <c r="M97" s="6" t="n">
        <f aca="false">D97-D96</f>
        <v>-4.5</v>
      </c>
      <c r="N97" s="6" t="n">
        <f aca="false">(C97-C96)/(D97-D96)</f>
        <v>-1.43333333333592</v>
      </c>
      <c r="O97" s="12" t="n">
        <f aca="false">ATAN((C97-C96)/(D97-D96))*180/PI()</f>
        <v>-55.0975043841238</v>
      </c>
      <c r="P97" s="6" t="n">
        <f aca="false">IF(M97&lt;0,O97+180,IF(AND(M97&gt;0,L97&lt;0),O97+360,O97))</f>
        <v>124.902495615876</v>
      </c>
      <c r="Q97" s="6" t="n">
        <f aca="false">P97-1.437</f>
        <v>123.465495615876</v>
      </c>
      <c r="S97" s="6" t="n">
        <f aca="false">F97</f>
        <v>94</v>
      </c>
      <c r="T97" s="6" t="str">
        <f aca="false">G97</f>
        <v>DAV95</v>
      </c>
      <c r="U97" s="6" t="n">
        <f aca="false">H97</f>
        <v>8.64942194601174</v>
      </c>
      <c r="V97" s="6" t="n">
        <f aca="false">Q97</f>
        <v>123.465495615876</v>
      </c>
      <c r="W97" s="2" t="n">
        <f aca="false">J97</f>
        <v>24.5957145993403</v>
      </c>
    </row>
    <row r="98" customFormat="false" ht="12.8" hidden="false" customHeight="false" outlineLevel="0" collapsed="false">
      <c r="A98" s="6" t="s">
        <v>5</v>
      </c>
      <c r="B98" s="1" t="n">
        <v>96</v>
      </c>
      <c r="C98" s="2" t="n">
        <v>351971.03</v>
      </c>
      <c r="D98" s="2" t="n">
        <v>5265959.56</v>
      </c>
      <c r="E98" s="2" t="n">
        <v>2312.4</v>
      </c>
      <c r="F98" s="6" t="n">
        <f aca="false">B97</f>
        <v>95</v>
      </c>
      <c r="G98" s="7" t="str">
        <f aca="false">_xlfn.CONCAT("DAV",B98)</f>
        <v>DAV96</v>
      </c>
      <c r="H98" s="6" t="n">
        <f aca="false">SQRT((C98-C97)^2+(D98-D97)^2+(E98-E97)^2)</f>
        <v>3.89390549476501</v>
      </c>
      <c r="I98" s="6" t="n">
        <f aca="false">MOD((2*180*(ATAN((C97-C98)/(D98-D97))*180/PI())/360), 360)</f>
        <v>37.8065299411398</v>
      </c>
      <c r="J98" s="2" t="n">
        <f aca="false">ASIN((E98-E97)/H98)*180/PI()</f>
        <v>19.5029289519787</v>
      </c>
      <c r="L98" s="6" t="n">
        <f aca="false">C98-C97</f>
        <v>2.25</v>
      </c>
      <c r="M98" s="6" t="n">
        <f aca="false">D98-D97</f>
        <v>-2.90000000037253</v>
      </c>
      <c r="N98" s="6" t="n">
        <f aca="false">(C98-C97)/(D98-D97)</f>
        <v>-0.775862068865851</v>
      </c>
      <c r="O98" s="12" t="n">
        <f aca="false">ATAN((C98-C97)/(D98-D97))*180/PI()</f>
        <v>-37.8065299411398</v>
      </c>
      <c r="P98" s="6" t="n">
        <f aca="false">IF(M98&lt;0,O98+180,IF(AND(M98&gt;0,L98&lt;0),O98+360,O98))</f>
        <v>142.19347005886</v>
      </c>
      <c r="Q98" s="6" t="n">
        <f aca="false">P98-1.437</f>
        <v>140.75647005886</v>
      </c>
      <c r="S98" s="6" t="n">
        <f aca="false">F98</f>
        <v>95</v>
      </c>
      <c r="T98" s="6" t="str">
        <f aca="false">G98</f>
        <v>DAV96</v>
      </c>
      <c r="U98" s="6" t="n">
        <f aca="false">H98</f>
        <v>3.89390549476501</v>
      </c>
      <c r="V98" s="6" t="n">
        <f aca="false">Q98</f>
        <v>140.75647005886</v>
      </c>
      <c r="W98" s="2" t="n">
        <f aca="false">J98</f>
        <v>19.5029289519787</v>
      </c>
    </row>
    <row r="99" customFormat="false" ht="12.8" hidden="false" customHeight="false" outlineLevel="0" collapsed="false">
      <c r="A99" s="6" t="s">
        <v>5</v>
      </c>
      <c r="B99" s="1" t="n">
        <v>97</v>
      </c>
      <c r="C99" s="2" t="n">
        <v>351973.49</v>
      </c>
      <c r="D99" s="2" t="n">
        <v>5265957.2</v>
      </c>
      <c r="E99" s="2" t="n">
        <v>2312.3</v>
      </c>
      <c r="F99" s="6" t="n">
        <f aca="false">B98</f>
        <v>96</v>
      </c>
      <c r="G99" s="7" t="str">
        <f aca="false">_xlfn.CONCAT("DAV",B99)</f>
        <v>DAV97</v>
      </c>
      <c r="H99" s="6" t="n">
        <f aca="false">SQRT((C99-C98)^2+(D99-D98)^2+(E99-E98)^2)</f>
        <v>3.4104545147243</v>
      </c>
      <c r="I99" s="6" t="n">
        <f aca="false">MOD((2*180*(ATAN((C98-C99)/(D99-D98))*180/PI())/360), 360)</f>
        <v>46.1885386160045</v>
      </c>
      <c r="J99" s="2" t="n">
        <f aca="false">ASIN((E99-E98)/H99)*180/PI()</f>
        <v>-1.68024503812098</v>
      </c>
      <c r="L99" s="6" t="n">
        <f aca="false">C99-C98</f>
        <v>2.45999999996275</v>
      </c>
      <c r="M99" s="6" t="n">
        <f aca="false">D99-D98</f>
        <v>-2.35999999940395</v>
      </c>
      <c r="N99" s="6" t="n">
        <f aca="false">(C99-C98)/(D99-D98)</f>
        <v>-1.04237288160341</v>
      </c>
      <c r="O99" s="12" t="n">
        <f aca="false">ATAN((C99-C98)/(D99-D98))*180/PI()</f>
        <v>-46.1885386160045</v>
      </c>
      <c r="P99" s="6" t="n">
        <f aca="false">IF(M99&lt;0,O99+180,IF(AND(M99&gt;0,L99&lt;0),O99+360,O99))</f>
        <v>133.811461383996</v>
      </c>
      <c r="Q99" s="6" t="n">
        <f aca="false">P99-1.437</f>
        <v>132.374461383995</v>
      </c>
      <c r="S99" s="6" t="n">
        <f aca="false">F99</f>
        <v>96</v>
      </c>
      <c r="T99" s="6" t="str">
        <f aca="false">G99</f>
        <v>DAV97</v>
      </c>
      <c r="U99" s="6" t="n">
        <f aca="false">H99</f>
        <v>3.4104545147243</v>
      </c>
      <c r="V99" s="6" t="n">
        <f aca="false">Q99</f>
        <v>132.374461383995</v>
      </c>
      <c r="W99" s="2" t="n">
        <f aca="false">J99</f>
        <v>-1.68024503812098</v>
      </c>
    </row>
    <row r="100" customFormat="false" ht="12.8" hidden="false" customHeight="false" outlineLevel="0" collapsed="false">
      <c r="A100" s="6" t="s">
        <v>5</v>
      </c>
      <c r="B100" s="1" t="n">
        <v>98</v>
      </c>
      <c r="C100" s="2" t="n">
        <v>351976.63</v>
      </c>
      <c r="D100" s="2" t="n">
        <v>5265955.28</v>
      </c>
      <c r="E100" s="2" t="n">
        <v>2312</v>
      </c>
      <c r="F100" s="6" t="n">
        <f aca="false">B99</f>
        <v>97</v>
      </c>
      <c r="G100" s="7" t="str">
        <f aca="false">_xlfn.CONCAT("DAV",B100)</f>
        <v>DAV98</v>
      </c>
      <c r="H100" s="6" t="n">
        <f aca="false">SQRT((C100-C99)^2+(D100-D99)^2+(E100-E99)^2)</f>
        <v>3.6926954924285</v>
      </c>
      <c r="I100" s="6" t="n">
        <f aca="false">MOD((2*180*(ATAN((C99-C100)/(D100-D99))*180/PI())/360), 360)</f>
        <v>58.5556750410183</v>
      </c>
      <c r="J100" s="2" t="n">
        <f aca="false">ASIN((E100-E99)/H100)*180/PI()</f>
        <v>-4.65992887333577</v>
      </c>
      <c r="L100" s="6" t="n">
        <f aca="false">C100-C99</f>
        <v>3.14000000001397</v>
      </c>
      <c r="M100" s="6" t="n">
        <f aca="false">D100-D99</f>
        <v>-1.91999999992549</v>
      </c>
      <c r="N100" s="6" t="n">
        <f aca="false">(C100-C99)/(D100-D99)</f>
        <v>-1.63541666673741</v>
      </c>
      <c r="O100" s="12" t="n">
        <f aca="false">ATAN((C100-C99)/(D100-D99))*180/PI()</f>
        <v>-58.5556750410183</v>
      </c>
      <c r="P100" s="6" t="n">
        <f aca="false">IF(M100&lt;0,O100+180,IF(AND(M100&gt;0,L100&lt;0),O100+360,O100))</f>
        <v>121.444324958982</v>
      </c>
      <c r="Q100" s="6" t="n">
        <f aca="false">P100-1.437</f>
        <v>120.007324958982</v>
      </c>
      <c r="S100" s="6" t="n">
        <f aca="false">F100</f>
        <v>97</v>
      </c>
      <c r="T100" s="6" t="str">
        <f aca="false">G100</f>
        <v>DAV98</v>
      </c>
      <c r="U100" s="6" t="n">
        <f aca="false">H100</f>
        <v>3.6926954924285</v>
      </c>
      <c r="V100" s="6" t="n">
        <f aca="false">Q100</f>
        <v>120.007324958982</v>
      </c>
      <c r="W100" s="2" t="n">
        <f aca="false">J100</f>
        <v>-4.65992887333577</v>
      </c>
    </row>
    <row r="101" customFormat="false" ht="12.8" hidden="false" customHeight="false" outlineLevel="0" collapsed="false">
      <c r="A101" s="6" t="s">
        <v>5</v>
      </c>
      <c r="B101" s="1" t="n">
        <v>99</v>
      </c>
      <c r="C101" s="2" t="n">
        <v>351980.51</v>
      </c>
      <c r="D101" s="2" t="n">
        <v>5265954.53</v>
      </c>
      <c r="E101" s="2" t="n">
        <v>2311.9</v>
      </c>
      <c r="F101" s="6" t="n">
        <f aca="false">B100</f>
        <v>98</v>
      </c>
      <c r="G101" s="7" t="str">
        <f aca="false">_xlfn.CONCAT("DAV",B101)</f>
        <v>DAV99</v>
      </c>
      <c r="H101" s="6" t="n">
        <f aca="false">SQRT((C101-C100)^2+(D101-D100)^2+(E101-E100)^2)</f>
        <v>3.95308740101153</v>
      </c>
      <c r="I101" s="6" t="n">
        <f aca="false">MOD((2*180*(ATAN((C100-C101)/(D101-D100))*180/PI())/360), 360)</f>
        <v>79.0597125878396</v>
      </c>
      <c r="J101" s="2" t="n">
        <f aca="false">ASIN((E101-E100)/H101)*180/PI()</f>
        <v>-1.44954781585343</v>
      </c>
      <c r="L101" s="6" t="n">
        <f aca="false">C101-C100</f>
        <v>3.88000000000466</v>
      </c>
      <c r="M101" s="6" t="n">
        <f aca="false">D101-D100</f>
        <v>-0.75</v>
      </c>
      <c r="N101" s="6" t="n">
        <f aca="false">(C101-C100)/(D101-D100)</f>
        <v>-5.17333333333954</v>
      </c>
      <c r="O101" s="12" t="n">
        <f aca="false">ATAN((C101-C100)/(D101-D100))*180/PI()</f>
        <v>-79.0597125878396</v>
      </c>
      <c r="P101" s="6" t="n">
        <f aca="false">IF(M101&lt;0,O101+180,IF(AND(M101&gt;0,L101&lt;0),O101+360,O101))</f>
        <v>100.94028741216</v>
      </c>
      <c r="Q101" s="6" t="n">
        <f aca="false">P101-1.437</f>
        <v>99.5032874121604</v>
      </c>
      <c r="S101" s="6" t="n">
        <f aca="false">F101</f>
        <v>98</v>
      </c>
      <c r="T101" s="6" t="str">
        <f aca="false">G101</f>
        <v>DAV99</v>
      </c>
      <c r="U101" s="6" t="n">
        <f aca="false">H101</f>
        <v>3.95308740101153</v>
      </c>
      <c r="V101" s="6" t="n">
        <f aca="false">Q101</f>
        <v>99.5032874121604</v>
      </c>
      <c r="W101" s="2" t="n">
        <f aca="false">J101</f>
        <v>-1.44954781585343</v>
      </c>
    </row>
    <row r="102" customFormat="false" ht="12.8" hidden="false" customHeight="false" outlineLevel="0" collapsed="false">
      <c r="A102" s="6" t="s">
        <v>5</v>
      </c>
      <c r="B102" s="1" t="n">
        <v>100</v>
      </c>
      <c r="C102" s="2" t="n">
        <v>351983.94</v>
      </c>
      <c r="D102" s="2" t="n">
        <v>5265953.73</v>
      </c>
      <c r="E102" s="2" t="n">
        <v>2313.1</v>
      </c>
      <c r="F102" s="6" t="n">
        <f aca="false">B101</f>
        <v>99</v>
      </c>
      <c r="G102" s="7" t="str">
        <f aca="false">_xlfn.CONCAT("DAV",B102)</f>
        <v>DAV100</v>
      </c>
      <c r="H102" s="6" t="n">
        <f aca="false">SQRT((C102-C101)^2+(D102-D101)^2+(E102-E101)^2)</f>
        <v>3.72087355330084</v>
      </c>
      <c r="I102" s="6" t="n">
        <f aca="false">MOD((2*180*(ATAN((C101-C102)/(D102-D101))*180/PI())/360), 360)</f>
        <v>76.8712584135196</v>
      </c>
      <c r="J102" s="2" t="n">
        <f aca="false">ASIN((E102-E101)/H102)*180/PI()</f>
        <v>18.8144792103949</v>
      </c>
      <c r="L102" s="6" t="n">
        <f aca="false">C102-C101</f>
        <v>3.42999999999302</v>
      </c>
      <c r="M102" s="6" t="n">
        <f aca="false">D102-D101</f>
        <v>-0.799999999813736</v>
      </c>
      <c r="N102" s="6" t="n">
        <f aca="false">(C102-C101)/(D102-D101)</f>
        <v>-4.28750000098953</v>
      </c>
      <c r="O102" s="12" t="n">
        <f aca="false">ATAN((C102-C101)/(D102-D101))*180/PI()</f>
        <v>-76.8712584135196</v>
      </c>
      <c r="P102" s="6" t="n">
        <f aca="false">IF(M102&lt;0,O102+180,IF(AND(M102&gt;0,L102&lt;0),O102+360,O102))</f>
        <v>103.12874158648</v>
      </c>
      <c r="Q102" s="6" t="n">
        <f aca="false">P102-1.437</f>
        <v>101.69174158648</v>
      </c>
      <c r="S102" s="6" t="n">
        <f aca="false">F102</f>
        <v>99</v>
      </c>
      <c r="T102" s="6" t="str">
        <f aca="false">G102</f>
        <v>DAV100</v>
      </c>
      <c r="U102" s="6" t="n">
        <f aca="false">H102</f>
        <v>3.72087355330084</v>
      </c>
      <c r="V102" s="6" t="n">
        <f aca="false">Q102</f>
        <v>101.69174158648</v>
      </c>
      <c r="W102" s="2" t="n">
        <f aca="false">J102</f>
        <v>18.8144792103949</v>
      </c>
    </row>
    <row r="103" customFormat="false" ht="12.8" hidden="false" customHeight="false" outlineLevel="0" collapsed="false">
      <c r="A103" s="6" t="s">
        <v>5</v>
      </c>
      <c r="B103" s="1" t="n">
        <v>101</v>
      </c>
      <c r="C103" s="2" t="n">
        <v>351994.95</v>
      </c>
      <c r="D103" s="2" t="n">
        <v>5265948.67</v>
      </c>
      <c r="E103" s="2" t="n">
        <v>2315.1</v>
      </c>
      <c r="F103" s="6" t="n">
        <f aca="false">B102</f>
        <v>100</v>
      </c>
      <c r="G103" s="7" t="str">
        <f aca="false">_xlfn.CONCAT("DAV",B103)</f>
        <v>DAV101</v>
      </c>
      <c r="H103" s="6" t="n">
        <f aca="false">SQRT((C103-C102)^2+(D103-D102)^2+(E103-E102)^2)</f>
        <v>12.2810300873128</v>
      </c>
      <c r="I103" s="6" t="n">
        <f aca="false">MOD((2*180*(ATAN((C102-C103)/(D103-D102))*180/PI())/360), 360)</f>
        <v>65.3173304897242</v>
      </c>
      <c r="J103" s="2" t="n">
        <f aca="false">ASIN((E103-E102)/H103)*180/PI()</f>
        <v>9.3725212582893</v>
      </c>
      <c r="L103" s="6" t="n">
        <f aca="false">C103-C102</f>
        <v>11.0100000000093</v>
      </c>
      <c r="M103" s="6" t="n">
        <f aca="false">D103-D102</f>
        <v>-5.06000000052154</v>
      </c>
      <c r="N103" s="6" t="n">
        <f aca="false">(C103-C102)/(D103-D102)</f>
        <v>-2.17588932784081</v>
      </c>
      <c r="O103" s="12" t="n">
        <f aca="false">ATAN((C103-C102)/(D103-D102))*180/PI()</f>
        <v>-65.3173304897242</v>
      </c>
      <c r="P103" s="6" t="n">
        <f aca="false">IF(M103&lt;0,O103+180,IF(AND(M103&gt;0,L103&lt;0),O103+360,O103))</f>
        <v>114.682669510276</v>
      </c>
      <c r="Q103" s="6" t="n">
        <f aca="false">P103-1.437</f>
        <v>113.245669510276</v>
      </c>
      <c r="S103" s="6" t="n">
        <f aca="false">F103</f>
        <v>100</v>
      </c>
      <c r="T103" s="6" t="str">
        <f aca="false">G103</f>
        <v>DAV101</v>
      </c>
      <c r="U103" s="6" t="n">
        <f aca="false">H103</f>
        <v>12.2810300873128</v>
      </c>
      <c r="V103" s="6" t="n">
        <f aca="false">Q103</f>
        <v>113.245669510276</v>
      </c>
      <c r="W103" s="2" t="n">
        <f aca="false">J103</f>
        <v>9.3725212582893</v>
      </c>
    </row>
    <row r="104" customFormat="false" ht="12.8" hidden="false" customHeight="false" outlineLevel="0" collapsed="false">
      <c r="A104" s="6" t="s">
        <v>5</v>
      </c>
      <c r="B104" s="1" t="n">
        <v>102</v>
      </c>
      <c r="C104" s="2" t="n">
        <v>351997.69</v>
      </c>
      <c r="D104" s="2" t="n">
        <v>5265946.95</v>
      </c>
      <c r="E104" s="2" t="n">
        <v>2315.3</v>
      </c>
      <c r="F104" s="6" t="n">
        <f aca="false">B103</f>
        <v>101</v>
      </c>
      <c r="G104" s="7" t="str">
        <f aca="false">_xlfn.CONCAT("DAV",B104)</f>
        <v>DAV102</v>
      </c>
      <c r="H104" s="6" t="n">
        <f aca="false">SQRT((C104-C103)^2+(D104-D103)^2+(E104-E103)^2)</f>
        <v>3.24129603693523</v>
      </c>
      <c r="I104" s="6" t="n">
        <f aca="false">MOD((2*180*(ATAN((C103-C104)/(D104-D103))*180/PI())/360), 360)</f>
        <v>57.8819777937091</v>
      </c>
      <c r="J104" s="2" t="n">
        <f aca="false">ASIN((E104-E103)/H104)*180/PI()</f>
        <v>3.53760957283292</v>
      </c>
      <c r="L104" s="6" t="n">
        <f aca="false">C104-C103</f>
        <v>2.73999999999069</v>
      </c>
      <c r="M104" s="6" t="n">
        <f aca="false">D104-D103</f>
        <v>-1.71999999973923</v>
      </c>
      <c r="N104" s="6" t="n">
        <f aca="false">(C104-C103)/(D104-D103)</f>
        <v>-1.59302325605006</v>
      </c>
      <c r="O104" s="12" t="n">
        <f aca="false">ATAN((C104-C103)/(D104-D103))*180/PI()</f>
        <v>-57.8819777937091</v>
      </c>
      <c r="P104" s="6" t="n">
        <f aca="false">IF(M104&lt;0,O104+180,IF(AND(M104&gt;0,L104&lt;0),O104+360,O104))</f>
        <v>122.118022206291</v>
      </c>
      <c r="Q104" s="6" t="n">
        <f aca="false">P104-1.437</f>
        <v>120.681022206291</v>
      </c>
      <c r="S104" s="6" t="n">
        <f aca="false">F104</f>
        <v>101</v>
      </c>
      <c r="T104" s="6" t="str">
        <f aca="false">G104</f>
        <v>DAV102</v>
      </c>
      <c r="U104" s="6" t="n">
        <f aca="false">H104</f>
        <v>3.24129603693523</v>
      </c>
      <c r="V104" s="6" t="n">
        <f aca="false">Q104</f>
        <v>120.681022206291</v>
      </c>
      <c r="W104" s="2" t="n">
        <f aca="false">J104</f>
        <v>3.53760957283292</v>
      </c>
    </row>
    <row r="105" customFormat="false" ht="12.8" hidden="false" customHeight="false" outlineLevel="0" collapsed="false">
      <c r="A105" s="6" t="s">
        <v>5</v>
      </c>
      <c r="B105" s="1" t="n">
        <v>103</v>
      </c>
      <c r="C105" s="2" t="n">
        <v>352001.53</v>
      </c>
      <c r="D105" s="2" t="n">
        <v>5265944.16</v>
      </c>
      <c r="E105" s="2" t="n">
        <v>2315.1</v>
      </c>
      <c r="F105" s="6" t="n">
        <f aca="false">B104</f>
        <v>102</v>
      </c>
      <c r="G105" s="7" t="str">
        <f aca="false">_xlfn.CONCAT("DAV",B105)</f>
        <v>DAV103</v>
      </c>
      <c r="H105" s="6" t="n">
        <f aca="false">SQRT((C105-C104)^2+(D105-D104)^2+(E105-E104)^2)</f>
        <v>4.75075783432545</v>
      </c>
      <c r="I105" s="6" t="n">
        <f aca="false">MOD((2*180*(ATAN((C104-C105)/(D105-D104))*180/PI())/360), 360)</f>
        <v>53.9992510456572</v>
      </c>
      <c r="J105" s="2" t="n">
        <f aca="false">ASIN((E105-E104)/H105)*180/PI()</f>
        <v>-2.41278209177268</v>
      </c>
      <c r="L105" s="6" t="n">
        <f aca="false">C105-C104</f>
        <v>3.84000000002561</v>
      </c>
      <c r="M105" s="6" t="n">
        <f aca="false">D105-D104</f>
        <v>-2.79000000003725</v>
      </c>
      <c r="N105" s="6" t="n">
        <f aca="false">(C105-C104)/(D105-D104)</f>
        <v>-1.37634408601231</v>
      </c>
      <c r="O105" s="12" t="n">
        <f aca="false">ATAN((C105-C104)/(D105-D104))*180/PI()</f>
        <v>-53.9992510456572</v>
      </c>
      <c r="P105" s="6" t="n">
        <f aca="false">IF(M105&lt;0,O105+180,IF(AND(M105&gt;0,L105&lt;0),O105+360,O105))</f>
        <v>126.000748954343</v>
      </c>
      <c r="Q105" s="6" t="n">
        <f aca="false">P105-1.437</f>
        <v>124.563748954343</v>
      </c>
      <c r="S105" s="6" t="n">
        <f aca="false">F105</f>
        <v>102</v>
      </c>
      <c r="T105" s="6" t="str">
        <f aca="false">G105</f>
        <v>DAV103</v>
      </c>
      <c r="U105" s="6" t="n">
        <f aca="false">H105</f>
        <v>4.75075783432545</v>
      </c>
      <c r="V105" s="6" t="n">
        <f aca="false">Q105</f>
        <v>124.563748954343</v>
      </c>
      <c r="W105" s="2" t="n">
        <f aca="false">J105</f>
        <v>-2.41278209177268</v>
      </c>
    </row>
    <row r="106" customFormat="false" ht="12.8" hidden="false" customHeight="false" outlineLevel="0" collapsed="false">
      <c r="A106" s="6" t="s">
        <v>5</v>
      </c>
      <c r="B106" s="1" t="n">
        <v>104</v>
      </c>
      <c r="C106" s="2" t="n">
        <v>352002.9</v>
      </c>
      <c r="D106" s="2" t="n">
        <v>5265943.47</v>
      </c>
      <c r="E106" s="2" t="n">
        <v>2315</v>
      </c>
      <c r="F106" s="6" t="n">
        <f aca="false">B105</f>
        <v>103</v>
      </c>
      <c r="G106" s="7" t="str">
        <f aca="false">_xlfn.CONCAT("DAV",B106)</f>
        <v>DAV104</v>
      </c>
      <c r="H106" s="6" t="n">
        <f aca="false">SQRT((C106-C105)^2+(D106-D105)^2+(E106-E105)^2)</f>
        <v>1.53720525648097</v>
      </c>
      <c r="I106" s="6" t="n">
        <f aca="false">MOD((2*180*(ATAN((C105-C106)/(D106-D105))*180/PI())/360), 360)</f>
        <v>63.2679061934927</v>
      </c>
      <c r="J106" s="2" t="n">
        <f aca="false">ASIN((E106-E105)/H106)*180/PI()</f>
        <v>-3.72990322368699</v>
      </c>
      <c r="L106" s="6" t="n">
        <f aca="false">C106-C105</f>
        <v>1.36999999999534</v>
      </c>
      <c r="M106" s="6" t="n">
        <f aca="false">D106-D105</f>
        <v>-0.690000000409782</v>
      </c>
      <c r="N106" s="6" t="n">
        <f aca="false">(C106-C105)/(D106-D105)</f>
        <v>-1.9855072451909</v>
      </c>
      <c r="O106" s="12" t="n">
        <f aca="false">ATAN((C106-C105)/(D106-D105))*180/PI()</f>
        <v>-63.2679061934927</v>
      </c>
      <c r="P106" s="6" t="n">
        <f aca="false">IF(M106&lt;0,O106+180,IF(AND(M106&gt;0,L106&lt;0),O106+360,O106))</f>
        <v>116.732093806507</v>
      </c>
      <c r="Q106" s="6" t="n">
        <f aca="false">P106-1.437</f>
        <v>115.295093806507</v>
      </c>
      <c r="S106" s="6" t="n">
        <f aca="false">F106</f>
        <v>103</v>
      </c>
      <c r="T106" s="6" t="str">
        <f aca="false">G106</f>
        <v>DAV104</v>
      </c>
      <c r="U106" s="6" t="n">
        <f aca="false">H106</f>
        <v>1.53720525648097</v>
      </c>
      <c r="V106" s="6" t="n">
        <f aca="false">Q106</f>
        <v>115.295093806507</v>
      </c>
      <c r="W106" s="2" t="n">
        <f aca="false">J106</f>
        <v>-3.72990322368699</v>
      </c>
    </row>
    <row r="107" customFormat="false" ht="12.8" hidden="false" customHeight="false" outlineLevel="0" collapsed="false">
      <c r="A107" s="6" t="s">
        <v>5</v>
      </c>
      <c r="B107" s="1" t="n">
        <v>105</v>
      </c>
      <c r="C107" s="2" t="n">
        <v>352015.85</v>
      </c>
      <c r="D107" s="2" t="n">
        <v>5265942.79</v>
      </c>
      <c r="E107" s="2" t="n">
        <v>2316.5</v>
      </c>
      <c r="F107" s="6" t="n">
        <f aca="false">B106</f>
        <v>104</v>
      </c>
      <c r="G107" s="7" t="str">
        <f aca="false">_xlfn.CONCAT("DAV",B107)</f>
        <v>DAV105</v>
      </c>
      <c r="H107" s="6" t="n">
        <f aca="false">SQRT((C107-C106)^2+(D107-D106)^2+(E107-E106)^2)</f>
        <v>13.0543058030057</v>
      </c>
      <c r="I107" s="6" t="n">
        <f aca="false">MOD((2*180*(ATAN((C106-C107)/(D107-D106))*180/PI())/360), 360)</f>
        <v>86.994179113977</v>
      </c>
      <c r="J107" s="2" t="n">
        <f aca="false">ASIN((E107-E106)/H107)*180/PI()</f>
        <v>6.59812349839556</v>
      </c>
      <c r="L107" s="6" t="n">
        <f aca="false">C107-C106</f>
        <v>12.9499999999534</v>
      </c>
      <c r="M107" s="6" t="n">
        <f aca="false">D107-D106</f>
        <v>-0.679999999701977</v>
      </c>
      <c r="N107" s="6" t="n">
        <f aca="false">(C107-C106)/(D107-D106)</f>
        <v>-19.0441176553368</v>
      </c>
      <c r="O107" s="12" t="n">
        <f aca="false">ATAN((C107-C106)/(D107-D106))*180/PI()</f>
        <v>-86.994179113977</v>
      </c>
      <c r="P107" s="6" t="n">
        <f aca="false">IF(M107&lt;0,O107+180,IF(AND(M107&gt;0,L107&lt;0),O107+360,O107))</f>
        <v>93.005820886023</v>
      </c>
      <c r="Q107" s="6" t="n">
        <f aca="false">P107-1.437</f>
        <v>91.568820886023</v>
      </c>
      <c r="S107" s="6" t="n">
        <f aca="false">F107</f>
        <v>104</v>
      </c>
      <c r="T107" s="6" t="str">
        <f aca="false">G107</f>
        <v>DAV105</v>
      </c>
      <c r="U107" s="6" t="n">
        <f aca="false">H107</f>
        <v>13.0543058030057</v>
      </c>
      <c r="V107" s="6" t="n">
        <f aca="false">Q107</f>
        <v>91.568820886023</v>
      </c>
      <c r="W107" s="2" t="n">
        <f aca="false">J107</f>
        <v>6.59812349839556</v>
      </c>
    </row>
    <row r="108" customFormat="false" ht="12.8" hidden="false" customHeight="false" outlineLevel="0" collapsed="false">
      <c r="A108" s="6" t="s">
        <v>5</v>
      </c>
      <c r="B108" s="1" t="n">
        <v>106</v>
      </c>
      <c r="C108" s="2" t="n">
        <v>352019.2</v>
      </c>
      <c r="D108" s="2" t="n">
        <v>5265941.66</v>
      </c>
      <c r="E108" s="2" t="n">
        <v>2316.4</v>
      </c>
      <c r="F108" s="6" t="n">
        <f aca="false">B107</f>
        <v>105</v>
      </c>
      <c r="G108" s="7" t="str">
        <f aca="false">_xlfn.CONCAT("DAV",B108)</f>
        <v>DAV106</v>
      </c>
      <c r="H108" s="6" t="n">
        <f aca="false">SQRT((C108-C107)^2+(D108-D107)^2+(E108-E107)^2)</f>
        <v>3.53686301685284</v>
      </c>
      <c r="I108" s="6" t="n">
        <f aca="false">MOD((2*180*(ATAN((C107-C108)/(D108-D107))*180/PI())/360), 360)</f>
        <v>71.3600582092502</v>
      </c>
      <c r="J108" s="2" t="n">
        <f aca="false">ASIN((E108-E107)/H108)*180/PI()</f>
        <v>-1.62017628853835</v>
      </c>
      <c r="L108" s="6" t="n">
        <f aca="false">C108-C107</f>
        <v>3.35000000003492</v>
      </c>
      <c r="M108" s="6" t="n">
        <f aca="false">D108-D107</f>
        <v>-1.12999999988824</v>
      </c>
      <c r="N108" s="6" t="n">
        <f aca="false">(C108-C107)/(D108-D107)</f>
        <v>-2.96460177023562</v>
      </c>
      <c r="O108" s="12" t="n">
        <f aca="false">ATAN((C108-C107)/(D108-D107))*180/PI()</f>
        <v>-71.3600582092502</v>
      </c>
      <c r="P108" s="6" t="n">
        <f aca="false">IF(M108&lt;0,O108+180,IF(AND(M108&gt;0,L108&lt;0),O108+360,O108))</f>
        <v>108.63994179075</v>
      </c>
      <c r="Q108" s="6" t="n">
        <f aca="false">P108-1.437</f>
        <v>107.20294179075</v>
      </c>
      <c r="S108" s="6" t="n">
        <f aca="false">F108</f>
        <v>105</v>
      </c>
      <c r="T108" s="6" t="str">
        <f aca="false">G108</f>
        <v>DAV106</v>
      </c>
      <c r="U108" s="6" t="n">
        <f aca="false">H108</f>
        <v>3.53686301685284</v>
      </c>
      <c r="V108" s="6" t="n">
        <f aca="false">Q108</f>
        <v>107.20294179075</v>
      </c>
      <c r="W108" s="2" t="n">
        <f aca="false">J108</f>
        <v>-1.62017628853835</v>
      </c>
    </row>
    <row r="109" customFormat="false" ht="12.8" hidden="false" customHeight="false" outlineLevel="0" collapsed="false">
      <c r="A109" s="6" t="s">
        <v>5</v>
      </c>
      <c r="B109" s="1" t="n">
        <v>107</v>
      </c>
      <c r="C109" s="2" t="n">
        <v>352020.81</v>
      </c>
      <c r="D109" s="2" t="n">
        <v>5265939.78</v>
      </c>
      <c r="E109" s="2" t="n">
        <v>2316.3</v>
      </c>
      <c r="F109" s="6" t="n">
        <f aca="false">B108</f>
        <v>106</v>
      </c>
      <c r="G109" s="7" t="str">
        <f aca="false">_xlfn.CONCAT("DAV",B109)</f>
        <v>DAV107</v>
      </c>
      <c r="H109" s="6" t="n">
        <f aca="false">SQRT((C109-C108)^2+(D109-D108)^2+(E109-E108)^2)</f>
        <v>2.47719599538163</v>
      </c>
      <c r="I109" s="6" t="n">
        <f aca="false">MOD((2*180*(ATAN((C108-C109)/(D109-D108))*180/PI())/360), 360)</f>
        <v>40.5761869444935</v>
      </c>
      <c r="J109" s="2" t="n">
        <f aca="false">ASIN((E109-E108)/H109)*180/PI()</f>
        <v>-2.31355744613266</v>
      </c>
      <c r="L109" s="6" t="n">
        <f aca="false">C109-C108</f>
        <v>1.60999999998603</v>
      </c>
      <c r="M109" s="6" t="n">
        <f aca="false">D109-D108</f>
        <v>-1.87999999988824</v>
      </c>
      <c r="N109" s="6" t="n">
        <f aca="false">(C109-C108)/(D109-D108)</f>
        <v>-0.856382978766882</v>
      </c>
      <c r="O109" s="12" t="n">
        <f aca="false">ATAN((C109-C108)/(D109-D108))*180/PI()</f>
        <v>-40.5761869444935</v>
      </c>
      <c r="P109" s="6" t="n">
        <f aca="false">IF(M109&lt;0,O109+180,IF(AND(M109&gt;0,L109&lt;0),O109+360,O109))</f>
        <v>139.423813055507</v>
      </c>
      <c r="Q109" s="6" t="n">
        <f aca="false">P109-1.437</f>
        <v>137.986813055507</v>
      </c>
      <c r="S109" s="6" t="n">
        <f aca="false">F109</f>
        <v>106</v>
      </c>
      <c r="T109" s="6" t="str">
        <f aca="false">G109</f>
        <v>DAV107</v>
      </c>
      <c r="U109" s="6" t="n">
        <f aca="false">H109</f>
        <v>2.47719599538163</v>
      </c>
      <c r="V109" s="6" t="n">
        <f aca="false">Q109</f>
        <v>137.986813055507</v>
      </c>
      <c r="W109" s="2" t="n">
        <f aca="false">J109</f>
        <v>-2.31355744613266</v>
      </c>
    </row>
    <row r="110" customFormat="false" ht="12.8" hidden="false" customHeight="false" outlineLevel="0" collapsed="false">
      <c r="A110" s="6" t="s">
        <v>5</v>
      </c>
      <c r="B110" s="1" t="n">
        <v>108</v>
      </c>
      <c r="C110" s="2" t="n">
        <v>352023.02</v>
      </c>
      <c r="D110" s="2" t="n">
        <v>5265937.81</v>
      </c>
      <c r="E110" s="2" t="n">
        <v>2316.2</v>
      </c>
      <c r="F110" s="6" t="n">
        <f aca="false">B109</f>
        <v>107</v>
      </c>
      <c r="G110" s="7" t="str">
        <f aca="false">_xlfn.CONCAT("DAV",B110)</f>
        <v>DAV108</v>
      </c>
      <c r="H110" s="6" t="n">
        <f aca="false">SQRT((C110-C109)^2+(D110-D109)^2+(E110-E109)^2)</f>
        <v>2.96226264918131</v>
      </c>
      <c r="I110" s="6" t="n">
        <f aca="false">MOD((2*180*(ATAN((C109-C110)/(D110-D109))*180/PI())/360), 360)</f>
        <v>48.286101969658</v>
      </c>
      <c r="J110" s="2" t="n">
        <f aca="false">ASIN((E110-E109)/H110)*180/PI()</f>
        <v>-1.93455727171585</v>
      </c>
      <c r="L110" s="6" t="n">
        <f aca="false">C110-C109</f>
        <v>2.21000000002095</v>
      </c>
      <c r="M110" s="6" t="n">
        <f aca="false">D110-D109</f>
        <v>-1.97000000067055</v>
      </c>
      <c r="N110" s="6" t="n">
        <f aca="false">(C110-C109)/(D110-D109)</f>
        <v>-1.1218274107963</v>
      </c>
      <c r="O110" s="12" t="n">
        <f aca="false">ATAN((C110-C109)/(D110-D109))*180/PI()</f>
        <v>-48.286101969658</v>
      </c>
      <c r="P110" s="6" t="n">
        <f aca="false">IF(M110&lt;0,O110+180,IF(AND(M110&gt;0,L110&lt;0),O110+360,O110))</f>
        <v>131.713898030342</v>
      </c>
      <c r="Q110" s="6" t="n">
        <f aca="false">P110-1.437</f>
        <v>130.276898030342</v>
      </c>
      <c r="S110" s="6" t="n">
        <f aca="false">F110</f>
        <v>107</v>
      </c>
      <c r="T110" s="6" t="str">
        <f aca="false">G110</f>
        <v>DAV108</v>
      </c>
      <c r="U110" s="6" t="n">
        <f aca="false">H110</f>
        <v>2.96226264918131</v>
      </c>
      <c r="V110" s="6" t="n">
        <f aca="false">Q110</f>
        <v>130.276898030342</v>
      </c>
      <c r="W110" s="2" t="n">
        <f aca="false">J110</f>
        <v>-1.93455727171585</v>
      </c>
    </row>
    <row r="111" customFormat="false" ht="12.8" hidden="false" customHeight="false" outlineLevel="0" collapsed="false">
      <c r="A111" s="6" t="s">
        <v>5</v>
      </c>
      <c r="B111" s="1" t="n">
        <v>109</v>
      </c>
      <c r="C111" s="2" t="n">
        <v>352031.44</v>
      </c>
      <c r="D111" s="2" t="n">
        <v>5265934.85</v>
      </c>
      <c r="E111" s="2" t="n">
        <v>2314.5</v>
      </c>
      <c r="F111" s="6" t="n">
        <f aca="false">B110</f>
        <v>108</v>
      </c>
      <c r="G111" s="7" t="str">
        <f aca="false">_xlfn.CONCAT("DAV",B111)</f>
        <v>DAV109</v>
      </c>
      <c r="H111" s="6" t="n">
        <f aca="false">SQRT((C111-C110)^2+(D111-D110)^2+(E111-E110)^2)</f>
        <v>9.08559299107683</v>
      </c>
      <c r="I111" s="6" t="n">
        <f aca="false">MOD((2*180*(ATAN((C110-C111)/(D111-D110))*180/PI())/360), 360)</f>
        <v>70.6311842521943</v>
      </c>
      <c r="J111" s="2" t="n">
        <f aca="false">ASIN((E111-E110)/H111)*180/PI()</f>
        <v>-10.7841408698536</v>
      </c>
      <c r="L111" s="6" t="n">
        <f aca="false">C111-C110</f>
        <v>8.4199999999837</v>
      </c>
      <c r="M111" s="6" t="n">
        <f aca="false">D111-D110</f>
        <v>-2.95999999996275</v>
      </c>
      <c r="N111" s="6" t="n">
        <f aca="false">(C111-C110)/(D111-D110)</f>
        <v>-2.84459459462489</v>
      </c>
      <c r="O111" s="12" t="n">
        <f aca="false">ATAN((C111-C110)/(D111-D110))*180/PI()</f>
        <v>-70.6311842521943</v>
      </c>
      <c r="P111" s="6" t="n">
        <f aca="false">IF(M111&lt;0,O111+180,IF(AND(M111&gt;0,L111&lt;0),O111+360,O111))</f>
        <v>109.368815747806</v>
      </c>
      <c r="Q111" s="6" t="n">
        <f aca="false">P111-1.437</f>
        <v>107.931815747806</v>
      </c>
      <c r="S111" s="6" t="n">
        <f aca="false">F111</f>
        <v>108</v>
      </c>
      <c r="T111" s="6" t="str">
        <f aca="false">G111</f>
        <v>DAV109</v>
      </c>
      <c r="U111" s="6" t="n">
        <f aca="false">H111</f>
        <v>9.08559299107683</v>
      </c>
      <c r="V111" s="6" t="n">
        <f aca="false">Q111</f>
        <v>107.931815747806</v>
      </c>
      <c r="W111" s="2" t="n">
        <f aca="false">J111</f>
        <v>-10.7841408698536</v>
      </c>
    </row>
    <row r="112" customFormat="false" ht="12.8" hidden="false" customHeight="false" outlineLevel="0" collapsed="false">
      <c r="A112" s="6" t="s">
        <v>5</v>
      </c>
      <c r="B112" s="1" t="n">
        <v>110</v>
      </c>
      <c r="C112" s="2" t="n">
        <v>352032.94</v>
      </c>
      <c r="D112" s="2" t="n">
        <v>5265933.76</v>
      </c>
      <c r="E112" s="2" t="n">
        <v>2314.3</v>
      </c>
      <c r="F112" s="6" t="n">
        <f aca="false">B111</f>
        <v>109</v>
      </c>
      <c r="G112" s="7" t="str">
        <f aca="false">_xlfn.CONCAT("DAV",B112)</f>
        <v>DAV110</v>
      </c>
      <c r="H112" s="6" t="n">
        <f aca="false">SQRT((C112-C111)^2+(D112-D111)^2+(E112-E111)^2)</f>
        <v>1.86496648754745</v>
      </c>
      <c r="I112" s="6" t="n">
        <f aca="false">MOD((2*180*(ATAN((C111-C112)/(D112-D111))*180/PI())/360), 360)</f>
        <v>53.9953450074042</v>
      </c>
      <c r="J112" s="2" t="n">
        <f aca="false">ASIN((E112-E111)/H112)*180/PI()</f>
        <v>-6.15626866893847</v>
      </c>
      <c r="L112" s="6" t="n">
        <f aca="false">C112-C111</f>
        <v>1.5</v>
      </c>
      <c r="M112" s="6" t="n">
        <f aca="false">D112-D111</f>
        <v>-1.08999999985099</v>
      </c>
      <c r="N112" s="6" t="n">
        <f aca="false">(C112-C111)/(D112-D111)</f>
        <v>-1.37614678917896</v>
      </c>
      <c r="O112" s="12" t="n">
        <f aca="false">ATAN((C112-C111)/(D112-D111))*180/PI()</f>
        <v>-53.9953450074042</v>
      </c>
      <c r="P112" s="6" t="n">
        <f aca="false">IF(M112&lt;0,O112+180,IF(AND(M112&gt;0,L112&lt;0),O112+360,O112))</f>
        <v>126.004654992596</v>
      </c>
      <c r="Q112" s="6" t="n">
        <f aca="false">P112-1.437</f>
        <v>124.567654992596</v>
      </c>
      <c r="S112" s="6" t="n">
        <f aca="false">F112</f>
        <v>109</v>
      </c>
      <c r="T112" s="6" t="str">
        <f aca="false">G112</f>
        <v>DAV110</v>
      </c>
      <c r="U112" s="6" t="n">
        <f aca="false">H112</f>
        <v>1.86496648754745</v>
      </c>
      <c r="V112" s="6" t="n">
        <f aca="false">Q112</f>
        <v>124.567654992596</v>
      </c>
      <c r="W112" s="2" t="n">
        <f aca="false">J112</f>
        <v>-6.15626866893847</v>
      </c>
    </row>
    <row r="113" customFormat="false" ht="12.8" hidden="false" customHeight="false" outlineLevel="0" collapsed="false">
      <c r="A113" s="6" t="s">
        <v>5</v>
      </c>
      <c r="B113" s="1" t="n">
        <v>111</v>
      </c>
      <c r="C113" s="2" t="n">
        <v>352033.76</v>
      </c>
      <c r="D113" s="2" t="n">
        <v>5265932.22</v>
      </c>
      <c r="E113" s="2" t="n">
        <v>2314.5</v>
      </c>
      <c r="F113" s="6" t="n">
        <f aca="false">B112</f>
        <v>110</v>
      </c>
      <c r="G113" s="7" t="str">
        <f aca="false">_xlfn.CONCAT("DAV",B113)</f>
        <v>DAV111</v>
      </c>
      <c r="H113" s="6" t="n">
        <f aca="false">SQRT((C113-C112)^2+(D113-D112)^2+(E113-E112)^2)</f>
        <v>1.75613211351712</v>
      </c>
      <c r="I113" s="6" t="n">
        <f aca="false">MOD((2*180*(ATAN((C112-C113)/(D113-D112))*180/PI())/360), 360)</f>
        <v>28.0338518910913</v>
      </c>
      <c r="J113" s="2" t="n">
        <f aca="false">ASIN((E113-E112)/H113)*180/PI()</f>
        <v>6.53941279058592</v>
      </c>
      <c r="L113" s="6" t="n">
        <f aca="false">C113-C112</f>
        <v>0.820000000006985</v>
      </c>
      <c r="M113" s="6" t="n">
        <f aca="false">D113-D112</f>
        <v>-1.54000000003725</v>
      </c>
      <c r="N113" s="6" t="n">
        <f aca="false">(C113-C112)/(D113-D112)</f>
        <v>-0.532467532459188</v>
      </c>
      <c r="O113" s="12" t="n">
        <f aca="false">ATAN((C113-C112)/(D113-D112))*180/PI()</f>
        <v>-28.0338518910913</v>
      </c>
      <c r="P113" s="6" t="n">
        <f aca="false">IF(M113&lt;0,O113+180,IF(AND(M113&gt;0,L113&lt;0),O113+360,O113))</f>
        <v>151.966148108909</v>
      </c>
      <c r="Q113" s="6" t="n">
        <f aca="false">P113-1.437</f>
        <v>150.529148108909</v>
      </c>
      <c r="S113" s="6" t="n">
        <f aca="false">F113</f>
        <v>110</v>
      </c>
      <c r="T113" s="6" t="str">
        <f aca="false">G113</f>
        <v>DAV111</v>
      </c>
      <c r="U113" s="6" t="n">
        <f aca="false">H113</f>
        <v>1.75613211351712</v>
      </c>
      <c r="V113" s="6" t="n">
        <f aca="false">Q113</f>
        <v>150.529148108909</v>
      </c>
      <c r="W113" s="2" t="n">
        <f aca="false">J113</f>
        <v>6.53941279058592</v>
      </c>
    </row>
    <row r="114" customFormat="false" ht="12.8" hidden="false" customHeight="false" outlineLevel="0" collapsed="false">
      <c r="A114" s="6" t="s">
        <v>5</v>
      </c>
      <c r="B114" s="1" t="n">
        <v>112</v>
      </c>
      <c r="C114" s="2" t="n">
        <v>352034.7</v>
      </c>
      <c r="D114" s="2" t="n">
        <v>5265929.56</v>
      </c>
      <c r="E114" s="2" t="n">
        <v>2314.6</v>
      </c>
      <c r="F114" s="6" t="n">
        <f aca="false">B113</f>
        <v>111</v>
      </c>
      <c r="G114" s="7" t="str">
        <f aca="false">_xlfn.CONCAT("DAV",B114)</f>
        <v>DAV112</v>
      </c>
      <c r="H114" s="6" t="n">
        <f aca="false">SQRT((C114-C113)^2+(D114-D113)^2+(E114-E113)^2)</f>
        <v>2.82297715201471</v>
      </c>
      <c r="I114" s="6" t="n">
        <f aca="false">MOD((2*180*(ATAN((C113-C114)/(D114-D113))*180/PI())/360), 360)</f>
        <v>19.4625656083999</v>
      </c>
      <c r="J114" s="2" t="n">
        <f aca="false">ASIN((E114-E113)/H114)*180/PI()</f>
        <v>2.03004721444074</v>
      </c>
      <c r="L114" s="6" t="n">
        <f aca="false">C114-C113</f>
        <v>0.940000000002328</v>
      </c>
      <c r="M114" s="6" t="n">
        <f aca="false">D114-D113</f>
        <v>-2.66000000014901</v>
      </c>
      <c r="N114" s="6" t="n">
        <f aca="false">(C114-C113)/(D114-D113)</f>
        <v>-0.353383458627696</v>
      </c>
      <c r="O114" s="12" t="n">
        <f aca="false">ATAN((C114-C113)/(D114-D113))*180/PI()</f>
        <v>-19.4625656083999</v>
      </c>
      <c r="P114" s="6" t="n">
        <f aca="false">IF(M114&lt;0,O114+180,IF(AND(M114&gt;0,L114&lt;0),O114+360,O114))</f>
        <v>160.5374343916</v>
      </c>
      <c r="Q114" s="6" t="n">
        <f aca="false">P114-1.437</f>
        <v>159.1004343916</v>
      </c>
      <c r="S114" s="6" t="n">
        <f aca="false">F114</f>
        <v>111</v>
      </c>
      <c r="T114" s="6" t="str">
        <f aca="false">G114</f>
        <v>DAV112</v>
      </c>
      <c r="U114" s="6" t="n">
        <f aca="false">H114</f>
        <v>2.82297715201471</v>
      </c>
      <c r="V114" s="6" t="n">
        <f aca="false">Q114</f>
        <v>159.1004343916</v>
      </c>
      <c r="W114" s="2" t="n">
        <f aca="false">J114</f>
        <v>2.03004721444074</v>
      </c>
    </row>
    <row r="115" customFormat="false" ht="12.8" hidden="false" customHeight="false" outlineLevel="0" collapsed="false">
      <c r="A115" s="6" t="s">
        <v>5</v>
      </c>
      <c r="B115" s="1" t="n">
        <v>113</v>
      </c>
      <c r="C115" s="2" t="n">
        <v>352035.5</v>
      </c>
      <c r="D115" s="2" t="n">
        <v>5265923.72</v>
      </c>
      <c r="E115" s="2" t="n">
        <v>2313.4</v>
      </c>
      <c r="F115" s="6" t="n">
        <f aca="false">B114</f>
        <v>112</v>
      </c>
      <c r="G115" s="7" t="str">
        <f aca="false">_xlfn.CONCAT("DAV",B115)</f>
        <v>DAV113</v>
      </c>
      <c r="H115" s="6" t="n">
        <f aca="false">SQRT((C115-C114)^2+(D115-D114)^2+(E115-E114)^2)</f>
        <v>6.01544678292814</v>
      </c>
      <c r="I115" s="6" t="n">
        <f aca="false">MOD((2*180*(ATAN((C114-C115)/(D115-D114))*180/PI())/360), 360)</f>
        <v>7.80018788426616</v>
      </c>
      <c r="J115" s="2" t="n">
        <f aca="false">ASIN((E115-E114)/H115)*180/PI()</f>
        <v>-11.5069284366174</v>
      </c>
      <c r="L115" s="6" t="n">
        <f aca="false">C115-C114</f>
        <v>0.799999999988359</v>
      </c>
      <c r="M115" s="6" t="n">
        <f aca="false">D115-D114</f>
        <v>-5.83999999985099</v>
      </c>
      <c r="N115" s="6" t="n">
        <f aca="false">(C115-C114)/(D115-D114)</f>
        <v>-0.136986301371365</v>
      </c>
      <c r="O115" s="12" t="n">
        <f aca="false">ATAN((C115-C114)/(D115-D114))*180/PI()</f>
        <v>-7.80018788426616</v>
      </c>
      <c r="P115" s="6" t="n">
        <f aca="false">IF(M115&lt;0,O115+180,IF(AND(M115&gt;0,L115&lt;0),O115+360,O115))</f>
        <v>172.199812115734</v>
      </c>
      <c r="Q115" s="6" t="n">
        <f aca="false">P115-1.437</f>
        <v>170.762812115734</v>
      </c>
      <c r="S115" s="6" t="n">
        <f aca="false">F115</f>
        <v>112</v>
      </c>
      <c r="T115" s="6" t="str">
        <f aca="false">G115</f>
        <v>DAV113</v>
      </c>
      <c r="U115" s="6" t="n">
        <f aca="false">H115</f>
        <v>6.01544678292814</v>
      </c>
      <c r="V115" s="6" t="n">
        <f aca="false">Q115</f>
        <v>170.762812115734</v>
      </c>
      <c r="W115" s="2" t="n">
        <f aca="false">J115</f>
        <v>-11.5069284366174</v>
      </c>
    </row>
    <row r="116" customFormat="false" ht="12.8" hidden="false" customHeight="false" outlineLevel="0" collapsed="false">
      <c r="A116" s="6" t="s">
        <v>5</v>
      </c>
      <c r="B116" s="1" t="n">
        <v>114</v>
      </c>
      <c r="C116" s="2" t="n">
        <v>352036.96</v>
      </c>
      <c r="D116" s="2" t="n">
        <v>5265920.78</v>
      </c>
      <c r="E116" s="2" t="n">
        <v>2311.9</v>
      </c>
      <c r="F116" s="6" t="n">
        <f aca="false">B115</f>
        <v>113</v>
      </c>
      <c r="G116" s="7" t="str">
        <f aca="false">_xlfn.CONCAT("DAV",B116)</f>
        <v>DAV114</v>
      </c>
      <c r="H116" s="6" t="n">
        <f aca="false">SQRT((C116-C115)^2+(D116-D115)^2+(E116-E115)^2)</f>
        <v>3.60904419438091</v>
      </c>
      <c r="I116" s="6" t="n">
        <f aca="false">MOD((2*180*(ATAN((C115-C116)/(D116-D115))*180/PI())/360), 360)</f>
        <v>26.4089322775962</v>
      </c>
      <c r="J116" s="2" t="n">
        <f aca="false">ASIN((E116-E115)/H116)*180/PI()</f>
        <v>-24.5585249016556</v>
      </c>
      <c r="L116" s="6" t="n">
        <f aca="false">C116-C115</f>
        <v>1.46000000002095</v>
      </c>
      <c r="M116" s="6" t="n">
        <f aca="false">D116-D115</f>
        <v>-2.93999999947846</v>
      </c>
      <c r="N116" s="6" t="n">
        <f aca="false">(C116-C115)/(D116-D115)</f>
        <v>-0.496598639551004</v>
      </c>
      <c r="O116" s="12" t="n">
        <f aca="false">ATAN((C116-C115)/(D116-D115))*180/PI()</f>
        <v>-26.4089322775962</v>
      </c>
      <c r="P116" s="6" t="n">
        <f aca="false">IF(M116&lt;0,O116+180,IF(AND(M116&gt;0,L116&lt;0),O116+360,O116))</f>
        <v>153.591067722404</v>
      </c>
      <c r="Q116" s="6" t="n">
        <f aca="false">P116-1.437</f>
        <v>152.154067722404</v>
      </c>
      <c r="S116" s="6" t="n">
        <f aca="false">F116</f>
        <v>113</v>
      </c>
      <c r="T116" s="6" t="str">
        <f aca="false">G116</f>
        <v>DAV114</v>
      </c>
      <c r="U116" s="6" t="n">
        <f aca="false">H116</f>
        <v>3.60904419438091</v>
      </c>
      <c r="V116" s="6" t="n">
        <f aca="false">Q116</f>
        <v>152.154067722404</v>
      </c>
      <c r="W116" s="2" t="n">
        <f aca="false">J116</f>
        <v>-24.5585249016556</v>
      </c>
    </row>
    <row r="117" customFormat="false" ht="12.8" hidden="false" customHeight="false" outlineLevel="0" collapsed="false">
      <c r="A117" s="6" t="s">
        <v>5</v>
      </c>
      <c r="B117" s="1" t="n">
        <v>115</v>
      </c>
      <c r="C117" s="2" t="n">
        <v>352038.71</v>
      </c>
      <c r="D117" s="2" t="n">
        <v>5265919.22</v>
      </c>
      <c r="E117" s="2" t="n">
        <v>2310.2</v>
      </c>
      <c r="F117" s="6" t="n">
        <f aca="false">B116</f>
        <v>114</v>
      </c>
      <c r="G117" s="7" t="str">
        <f aca="false">_xlfn.CONCAT("DAV",B117)</f>
        <v>DAV115</v>
      </c>
      <c r="H117" s="6" t="n">
        <f aca="false">SQRT((C117-C116)^2+(D117-D116)^2+(E117-E116)^2)</f>
        <v>2.89587637885807</v>
      </c>
      <c r="I117" s="6" t="n">
        <f aca="false">MOD((2*180*(ATAN((C116-C117)/(D117-D116))*180/PI())/360), 360)</f>
        <v>48.2852764652237</v>
      </c>
      <c r="J117" s="2" t="n">
        <f aca="false">ASIN((E117-E116)/H117)*180/PI()</f>
        <v>-35.9473533870083</v>
      </c>
      <c r="L117" s="6" t="n">
        <f aca="false">C117-C116</f>
        <v>1.75</v>
      </c>
      <c r="M117" s="6" t="n">
        <f aca="false">D117-D116</f>
        <v>-1.56000000052154</v>
      </c>
      <c r="N117" s="6" t="n">
        <f aca="false">(C117-C116)/(D117-D116)</f>
        <v>-1.12179487141983</v>
      </c>
      <c r="O117" s="12" t="n">
        <f aca="false">ATAN((C117-C116)/(D117-D116))*180/PI()</f>
        <v>-48.2852764652237</v>
      </c>
      <c r="P117" s="6" t="n">
        <f aca="false">IF(M117&lt;0,O117+180,IF(AND(M117&gt;0,L117&lt;0),O117+360,O117))</f>
        <v>131.714723534776</v>
      </c>
      <c r="Q117" s="6" t="n">
        <f aca="false">P117-1.437</f>
        <v>130.277723534776</v>
      </c>
      <c r="S117" s="6" t="n">
        <f aca="false">F117</f>
        <v>114</v>
      </c>
      <c r="T117" s="6" t="str">
        <f aca="false">G117</f>
        <v>DAV115</v>
      </c>
      <c r="U117" s="6" t="n">
        <f aca="false">H117</f>
        <v>2.89587637885807</v>
      </c>
      <c r="V117" s="6" t="n">
        <f aca="false">Q117</f>
        <v>130.277723534776</v>
      </c>
      <c r="W117" s="2" t="n">
        <f aca="false">J117</f>
        <v>-35.9473533870083</v>
      </c>
    </row>
    <row r="118" customFormat="false" ht="12.8" hidden="false" customHeight="false" outlineLevel="0" collapsed="false">
      <c r="A118" s="6" t="s">
        <v>5</v>
      </c>
      <c r="B118" s="1" t="n">
        <v>116</v>
      </c>
      <c r="C118" s="2" t="n">
        <v>352041</v>
      </c>
      <c r="D118" s="2" t="n">
        <v>5265917.98</v>
      </c>
      <c r="E118" s="2" t="n">
        <v>2308.5</v>
      </c>
      <c r="F118" s="6" t="n">
        <f aca="false">B117</f>
        <v>115</v>
      </c>
      <c r="G118" s="7" t="str">
        <f aca="false">_xlfn.CONCAT("DAV",B118)</f>
        <v>DAV116</v>
      </c>
      <c r="H118" s="6" t="n">
        <f aca="false">SQRT((C118-C117)^2+(D118-D117)^2+(E118-E117)^2)</f>
        <v>3.10993569035568</v>
      </c>
      <c r="I118" s="6" t="n">
        <f aca="false">MOD((2*180*(ATAN((C117-C118)/(D118-D117))*180/PI())/360), 360)</f>
        <v>61.5651321346282</v>
      </c>
      <c r="J118" s="2" t="n">
        <f aca="false">ASIN((E118-E117)/H118)*180/PI()</f>
        <v>-33.1364714595415</v>
      </c>
      <c r="L118" s="6" t="n">
        <f aca="false">C118-C117</f>
        <v>2.28999999997905</v>
      </c>
      <c r="M118" s="6" t="n">
        <f aca="false">D118-D117</f>
        <v>-1.23999999929219</v>
      </c>
      <c r="N118" s="6" t="n">
        <f aca="false">(C118-C117)/(D118-D117)</f>
        <v>-1.84677419458565</v>
      </c>
      <c r="O118" s="12" t="n">
        <f aca="false">ATAN((C118-C117)/(D118-D117))*180/PI()</f>
        <v>-61.5651321346282</v>
      </c>
      <c r="P118" s="6" t="n">
        <f aca="false">IF(M118&lt;0,O118+180,IF(AND(M118&gt;0,L118&lt;0),O118+360,O118))</f>
        <v>118.434867865372</v>
      </c>
      <c r="Q118" s="6" t="n">
        <f aca="false">P118-1.437</f>
        <v>116.997867865372</v>
      </c>
      <c r="S118" s="6" t="n">
        <f aca="false">F118</f>
        <v>115</v>
      </c>
      <c r="T118" s="6" t="str">
        <f aca="false">G118</f>
        <v>DAV116</v>
      </c>
      <c r="U118" s="6" t="n">
        <f aca="false">H118</f>
        <v>3.10993569035568</v>
      </c>
      <c r="V118" s="6" t="n">
        <f aca="false">Q118</f>
        <v>116.997867865372</v>
      </c>
      <c r="W118" s="2" t="n">
        <f aca="false">J118</f>
        <v>-33.1364714595415</v>
      </c>
    </row>
    <row r="119" customFormat="false" ht="12.8" hidden="false" customHeight="false" outlineLevel="0" collapsed="false">
      <c r="A119" s="6" t="s">
        <v>5</v>
      </c>
      <c r="B119" s="1" t="n">
        <v>117</v>
      </c>
      <c r="C119" s="2" t="n">
        <v>352044.02</v>
      </c>
      <c r="D119" s="2" t="n">
        <v>5265917.25</v>
      </c>
      <c r="E119" s="2" t="n">
        <v>2306.9</v>
      </c>
      <c r="F119" s="6" t="n">
        <f aca="false">B118</f>
        <v>116</v>
      </c>
      <c r="G119" s="7" t="str">
        <f aca="false">_xlfn.CONCAT("DAV",B119)</f>
        <v>DAV117</v>
      </c>
      <c r="H119" s="6" t="n">
        <f aca="false">SQRT((C119-C118)^2+(D119-D118)^2+(E119-E118)^2)</f>
        <v>3.49475321028036</v>
      </c>
      <c r="I119" s="6" t="n">
        <f aca="false">MOD((2*180*(ATAN((C118-C119)/(D119-D118))*180/PI())/360), 360)</f>
        <v>76.4110212836203</v>
      </c>
      <c r="J119" s="2" t="n">
        <f aca="false">ASIN((E119-E118)/H119)*180/PI()</f>
        <v>-27.2471169916151</v>
      </c>
      <c r="L119" s="6" t="n">
        <f aca="false">C119-C118</f>
        <v>3.02000000001863</v>
      </c>
      <c r="M119" s="6" t="n">
        <f aca="false">D119-D118</f>
        <v>-0.730000000447035</v>
      </c>
      <c r="N119" s="6" t="n">
        <f aca="false">(C119-C118)/(D119-D118)</f>
        <v>-4.13698629886199</v>
      </c>
      <c r="O119" s="12" t="n">
        <f aca="false">ATAN((C119-C118)/(D119-D118))*180/PI()</f>
        <v>-76.4110212836203</v>
      </c>
      <c r="P119" s="6" t="n">
        <f aca="false">IF(M119&lt;0,O119+180,IF(AND(M119&gt;0,L119&lt;0),O119+360,O119))</f>
        <v>103.58897871638</v>
      </c>
      <c r="Q119" s="6" t="n">
        <f aca="false">P119-1.437</f>
        <v>102.15197871638</v>
      </c>
      <c r="S119" s="6" t="n">
        <f aca="false">F119</f>
        <v>116</v>
      </c>
      <c r="T119" s="6" t="str">
        <f aca="false">G119</f>
        <v>DAV117</v>
      </c>
      <c r="U119" s="6" t="n">
        <f aca="false">H119</f>
        <v>3.49475321028036</v>
      </c>
      <c r="V119" s="6" t="n">
        <f aca="false">Q119</f>
        <v>102.15197871638</v>
      </c>
      <c r="W119" s="2" t="n">
        <f aca="false">J119</f>
        <v>-27.2471169916151</v>
      </c>
    </row>
    <row r="120" customFormat="false" ht="12.8" hidden="false" customHeight="false" outlineLevel="0" collapsed="false">
      <c r="A120" s="6" t="s">
        <v>5</v>
      </c>
      <c r="B120" s="1" t="n">
        <v>118</v>
      </c>
      <c r="C120" s="2" t="n">
        <v>352044.78</v>
      </c>
      <c r="D120" s="2" t="n">
        <v>5265915.58</v>
      </c>
      <c r="E120" s="2" t="n">
        <v>2306.2</v>
      </c>
      <c r="F120" s="6" t="n">
        <f aca="false">B119</f>
        <v>117</v>
      </c>
      <c r="G120" s="7" t="str">
        <f aca="false">_xlfn.CONCAT("DAV",B120)</f>
        <v>DAV118</v>
      </c>
      <c r="H120" s="6" t="n">
        <f aca="false">SQRT((C120-C119)^2+(D120-D119)^2+(E120-E119)^2)</f>
        <v>1.96379734182672</v>
      </c>
      <c r="I120" s="6" t="n">
        <f aca="false">MOD((2*180*(ATAN((C119-C120)/(D120-D119))*180/PI())/360), 360)</f>
        <v>24.4697986136826</v>
      </c>
      <c r="J120" s="2" t="n">
        <f aca="false">ASIN((E120-E119)/H120)*180/PI()</f>
        <v>-20.8824762977484</v>
      </c>
      <c r="L120" s="6" t="n">
        <f aca="false">C120-C119</f>
        <v>0.760000000009313</v>
      </c>
      <c r="M120" s="6" t="n">
        <f aca="false">D120-D119</f>
        <v>-1.66999999992549</v>
      </c>
      <c r="N120" s="6" t="n">
        <f aca="false">(C120-C119)/(D120-D119)</f>
        <v>-0.455089820385162</v>
      </c>
      <c r="O120" s="12" t="n">
        <f aca="false">ATAN((C120-C119)/(D120-D119))*180/PI()</f>
        <v>-24.4697986136826</v>
      </c>
      <c r="P120" s="6" t="n">
        <f aca="false">IF(M120&lt;0,O120+180,IF(AND(M120&gt;0,L120&lt;0),O120+360,O120))</f>
        <v>155.530201386317</v>
      </c>
      <c r="Q120" s="6" t="n">
        <f aca="false">P120-1.437</f>
        <v>154.093201386317</v>
      </c>
      <c r="S120" s="6" t="n">
        <f aca="false">F120</f>
        <v>117</v>
      </c>
      <c r="T120" s="6" t="str">
        <f aca="false">G120</f>
        <v>DAV118</v>
      </c>
      <c r="U120" s="6" t="n">
        <f aca="false">H120</f>
        <v>1.96379734182672</v>
      </c>
      <c r="V120" s="6" t="n">
        <f aca="false">Q120</f>
        <v>154.093201386317</v>
      </c>
      <c r="W120" s="2" t="n">
        <f aca="false">J120</f>
        <v>-20.8824762977484</v>
      </c>
    </row>
    <row r="121" customFormat="false" ht="12.8" hidden="false" customHeight="false" outlineLevel="0" collapsed="false">
      <c r="A121" s="6" t="s">
        <v>5</v>
      </c>
      <c r="B121" s="1" t="n">
        <v>119</v>
      </c>
      <c r="C121" s="2" t="n">
        <v>352045.81</v>
      </c>
      <c r="D121" s="2" t="n">
        <v>5265914.43</v>
      </c>
      <c r="E121" s="2" t="n">
        <v>2306.6</v>
      </c>
      <c r="F121" s="6" t="n">
        <f aca="false">B120</f>
        <v>118</v>
      </c>
      <c r="G121" s="7" t="str">
        <f aca="false">_xlfn.CONCAT("DAV",B121)</f>
        <v>DAV119</v>
      </c>
      <c r="H121" s="6" t="n">
        <f aca="false">SQRT((C121-C120)^2+(D121-D120)^2+(E121-E120)^2)</f>
        <v>1.59480406344934</v>
      </c>
      <c r="I121" s="6" t="n">
        <f aca="false">MOD((2*180*(ATAN((C120-C121)/(D121-D120))*180/PI())/360), 360)</f>
        <v>41.8492835766714</v>
      </c>
      <c r="J121" s="2" t="n">
        <f aca="false">ASIN((E121-E120)/H121)*180/PI()</f>
        <v>14.5257159256059</v>
      </c>
      <c r="L121" s="6" t="n">
        <f aca="false">C121-C120</f>
        <v>1.02999999996973</v>
      </c>
      <c r="M121" s="6" t="n">
        <f aca="false">D121-D120</f>
        <v>-1.15000000037253</v>
      </c>
      <c r="N121" s="6" t="n">
        <f aca="false">(C121-C120)/(D121-D120)</f>
        <v>-0.895652173596587</v>
      </c>
      <c r="O121" s="12" t="n">
        <f aca="false">ATAN((C121-C120)/(D121-D120))*180/PI()</f>
        <v>-41.8492835766714</v>
      </c>
      <c r="P121" s="6" t="n">
        <f aca="false">IF(M121&lt;0,O121+180,IF(AND(M121&gt;0,L121&lt;0),O121+360,O121))</f>
        <v>138.150716423329</v>
      </c>
      <c r="Q121" s="6" t="n">
        <f aca="false">P121-1.437</f>
        <v>136.713716423329</v>
      </c>
      <c r="S121" s="6" t="n">
        <f aca="false">F121</f>
        <v>118</v>
      </c>
      <c r="T121" s="6" t="str">
        <f aca="false">G121</f>
        <v>DAV119</v>
      </c>
      <c r="U121" s="6" t="n">
        <f aca="false">H121</f>
        <v>1.59480406344934</v>
      </c>
      <c r="V121" s="6" t="n">
        <f aca="false">Q121</f>
        <v>136.713716423329</v>
      </c>
      <c r="W121" s="2" t="n">
        <f aca="false">J121</f>
        <v>14.5257159256059</v>
      </c>
    </row>
    <row r="122" customFormat="false" ht="12.8" hidden="false" customHeight="false" outlineLevel="0" collapsed="false">
      <c r="A122" s="6" t="s">
        <v>5</v>
      </c>
      <c r="B122" s="1" t="n">
        <v>120</v>
      </c>
      <c r="C122" s="2" t="n">
        <v>352048.89</v>
      </c>
      <c r="D122" s="2" t="n">
        <v>5265912.98</v>
      </c>
      <c r="E122" s="2" t="n">
        <v>2304.5</v>
      </c>
      <c r="F122" s="6" t="n">
        <f aca="false">B121</f>
        <v>119</v>
      </c>
      <c r="G122" s="7" t="str">
        <f aca="false">_xlfn.CONCAT("DAV",B122)</f>
        <v>DAV120</v>
      </c>
      <c r="H122" s="6" t="n">
        <f aca="false">SQRT((C122-C121)^2+(D122-D121)^2+(E122-E121)^2)</f>
        <v>3.99986249737905</v>
      </c>
      <c r="I122" s="6" t="n">
        <f aca="false">MOD((2*180*(ATAN((C121-C122)/(D122-D121))*180/PI())/360), 360)</f>
        <v>64.7899183017211</v>
      </c>
      <c r="J122" s="2" t="n">
        <f aca="false">ASIN((E122-E121)/H122)*180/PI()</f>
        <v>-31.6694582330787</v>
      </c>
      <c r="L122" s="6" t="n">
        <f aca="false">C122-C121</f>
        <v>3.0800000000163</v>
      </c>
      <c r="M122" s="6" t="n">
        <f aca="false">D122-D121</f>
        <v>-1.44999999925494</v>
      </c>
      <c r="N122" s="6" t="n">
        <f aca="false">(C122-C121)/(D122-D121)</f>
        <v>-2.12413793213718</v>
      </c>
      <c r="O122" s="12" t="n">
        <f aca="false">ATAN((C122-C121)/(D122-D121))*180/PI()</f>
        <v>-64.7899183017211</v>
      </c>
      <c r="P122" s="6" t="n">
        <f aca="false">IF(M122&lt;0,O122+180,IF(AND(M122&gt;0,L122&lt;0),O122+360,O122))</f>
        <v>115.210081698279</v>
      </c>
      <c r="Q122" s="6" t="n">
        <f aca="false">P122-1.437</f>
        <v>113.773081698279</v>
      </c>
      <c r="S122" s="6" t="n">
        <f aca="false">F122</f>
        <v>119</v>
      </c>
      <c r="T122" s="6" t="str">
        <f aca="false">G122</f>
        <v>DAV120</v>
      </c>
      <c r="U122" s="6" t="n">
        <f aca="false">H122</f>
        <v>3.99986249737905</v>
      </c>
      <c r="V122" s="6" t="n">
        <f aca="false">Q122</f>
        <v>113.773081698279</v>
      </c>
      <c r="W122" s="2" t="n">
        <f aca="false">J122</f>
        <v>-31.6694582330787</v>
      </c>
    </row>
    <row r="123" customFormat="false" ht="12.8" hidden="false" customHeight="false" outlineLevel="0" collapsed="false">
      <c r="A123" s="6" t="s">
        <v>5</v>
      </c>
      <c r="B123" s="1" t="n">
        <v>121</v>
      </c>
      <c r="C123" s="2" t="n">
        <v>352056.96</v>
      </c>
      <c r="D123" s="2" t="n">
        <v>5265910.03</v>
      </c>
      <c r="E123" s="2" t="n">
        <v>2298.7</v>
      </c>
      <c r="F123" s="6" t="n">
        <f aca="false">B122</f>
        <v>120</v>
      </c>
      <c r="G123" s="7" t="str">
        <f aca="false">_xlfn.CONCAT("DAV",B123)</f>
        <v>DAV121</v>
      </c>
      <c r="H123" s="6" t="n">
        <f aca="false">SQRT((C123-C122)^2+(D123-D122)^2+(E123-E122)^2)</f>
        <v>10.3666484459161</v>
      </c>
      <c r="I123" s="6" t="n">
        <f aca="false">MOD((2*180*(ATAN((C122-C123)/(D123-D122))*180/PI())/360), 360)</f>
        <v>69.9200427934438</v>
      </c>
      <c r="J123" s="2" t="n">
        <f aca="false">ASIN((E123-E122)/H123)*180/PI()</f>
        <v>-34.0202941941985</v>
      </c>
      <c r="L123" s="6" t="n">
        <f aca="false">C123-C122</f>
        <v>8.07000000000699</v>
      </c>
      <c r="M123" s="6" t="n">
        <f aca="false">D123-D122</f>
        <v>-2.95000000018626</v>
      </c>
      <c r="N123" s="6" t="n">
        <f aca="false">(C123-C122)/(D123-D122)</f>
        <v>-2.73559322016862</v>
      </c>
      <c r="O123" s="12" t="n">
        <f aca="false">ATAN((C123-C122)/(D123-D122))*180/PI()</f>
        <v>-69.9200427934438</v>
      </c>
      <c r="P123" s="6" t="n">
        <f aca="false">IF(M123&lt;0,O123+180,IF(AND(M123&gt;0,L123&lt;0),O123+360,O123))</f>
        <v>110.079957206556</v>
      </c>
      <c r="Q123" s="6" t="n">
        <f aca="false">P123-1.437</f>
        <v>108.642957206556</v>
      </c>
      <c r="S123" s="6" t="n">
        <f aca="false">F123</f>
        <v>120</v>
      </c>
      <c r="T123" s="6" t="str">
        <f aca="false">G123</f>
        <v>DAV121</v>
      </c>
      <c r="U123" s="6" t="n">
        <f aca="false">H123</f>
        <v>10.3666484459161</v>
      </c>
      <c r="V123" s="6" t="n">
        <f aca="false">Q123</f>
        <v>108.642957206556</v>
      </c>
      <c r="W123" s="2" t="n">
        <f aca="false">J123</f>
        <v>-34.0202941941985</v>
      </c>
    </row>
    <row r="124" customFormat="false" ht="12.8" hidden="false" customHeight="false" outlineLevel="0" collapsed="false">
      <c r="A124" s="6" t="s">
        <v>5</v>
      </c>
      <c r="B124" s="1" t="n">
        <v>122</v>
      </c>
      <c r="C124" s="2" t="n">
        <v>352076.66</v>
      </c>
      <c r="D124" s="2" t="n">
        <v>5265903.72</v>
      </c>
      <c r="E124" s="2" t="n">
        <v>2290</v>
      </c>
      <c r="F124" s="6" t="n">
        <f aca="false">B123</f>
        <v>121</v>
      </c>
      <c r="G124" s="7" t="str">
        <f aca="false">_xlfn.CONCAT("DAV",B124)</f>
        <v>DAV122</v>
      </c>
      <c r="H124" s="6" t="n">
        <f aca="false">SQRT((C124-C123)^2+(D124-D123)^2+(E124-E123)^2)</f>
        <v>22.4409469498224</v>
      </c>
      <c r="I124" s="6" t="n">
        <f aca="false">MOD((2*180*(ATAN((C123-C124)/(D124-D123))*180/PI())/360), 360)</f>
        <v>72.2395002275404</v>
      </c>
      <c r="J124" s="2" t="n">
        <f aca="false">ASIN((E124-E123)/H124)*180/PI()</f>
        <v>-22.8104785316858</v>
      </c>
      <c r="L124" s="6" t="n">
        <f aca="false">C124-C123</f>
        <v>19.6999999999534</v>
      </c>
      <c r="M124" s="6" t="n">
        <f aca="false">D124-D123</f>
        <v>-6.31000000052154</v>
      </c>
      <c r="N124" s="6" t="n">
        <f aca="false">(C124-C123)/(D124-D123)</f>
        <v>-3.12202852588355</v>
      </c>
      <c r="O124" s="12" t="n">
        <f aca="false">ATAN((C124-C123)/(D124-D123))*180/PI()</f>
        <v>-72.2395002275404</v>
      </c>
      <c r="P124" s="6" t="n">
        <f aca="false">IF(M124&lt;0,O124+180,IF(AND(M124&gt;0,L124&lt;0),O124+360,O124))</f>
        <v>107.76049977246</v>
      </c>
      <c r="Q124" s="6" t="n">
        <f aca="false">P124-1.437</f>
        <v>106.32349977246</v>
      </c>
      <c r="S124" s="6" t="n">
        <f aca="false">F124</f>
        <v>121</v>
      </c>
      <c r="T124" s="6" t="str">
        <f aca="false">G124</f>
        <v>DAV122</v>
      </c>
      <c r="U124" s="6" t="n">
        <f aca="false">H124</f>
        <v>22.4409469498224</v>
      </c>
      <c r="V124" s="6" t="n">
        <f aca="false">Q124</f>
        <v>106.32349977246</v>
      </c>
      <c r="W124" s="2" t="n">
        <f aca="false">J124</f>
        <v>-22.8104785316858</v>
      </c>
    </row>
    <row r="125" customFormat="false" ht="12.8" hidden="false" customHeight="false" outlineLevel="0" collapsed="false">
      <c r="A125" s="6" t="s">
        <v>5</v>
      </c>
      <c r="B125" s="1" t="n">
        <v>123</v>
      </c>
      <c r="C125" s="2" t="n">
        <v>352078.06</v>
      </c>
      <c r="D125" s="2" t="n">
        <v>5265903.95</v>
      </c>
      <c r="E125" s="2" t="n">
        <v>2290.1</v>
      </c>
      <c r="F125" s="6" t="n">
        <f aca="false">B124</f>
        <v>122</v>
      </c>
      <c r="G125" s="7" t="str">
        <f aca="false">_xlfn.CONCAT("DAV",B125)</f>
        <v>DAV123</v>
      </c>
      <c r="H125" s="6" t="n">
        <f aca="false">SQRT((C125-C124)^2+(D125-D124)^2+(E125-E124)^2)</f>
        <v>1.42228689098607</v>
      </c>
      <c r="I125" s="6" t="n">
        <f aca="false">MOD((2*180*(ATAN((C124-C125)/(D125-D124))*180/PI())/360), 360)</f>
        <v>279.32953966036</v>
      </c>
      <c r="J125" s="2" t="n">
        <f aca="false">ASIN((E125-E124)/H125)*180/PI()</f>
        <v>4.03175274778013</v>
      </c>
      <c r="L125" s="6" t="n">
        <f aca="false">C125-C124</f>
        <v>1.40000000002328</v>
      </c>
      <c r="M125" s="6" t="n">
        <f aca="false">D125-D124</f>
        <v>0.230000000447035</v>
      </c>
      <c r="N125" s="6" t="n">
        <f aca="false">(C125-C124)/(D125-D124)</f>
        <v>6.08695651000957</v>
      </c>
      <c r="O125" s="12" t="n">
        <f aca="false">ATAN((C125-C124)/(D125-D124))*180/PI()</f>
        <v>80.67046033964</v>
      </c>
      <c r="P125" s="6" t="n">
        <f aca="false">IF(M125&lt;0,O125+180,IF(AND(M125&gt;0,L125&lt;0),O125+360,O125))</f>
        <v>80.67046033964</v>
      </c>
      <c r="Q125" s="6" t="n">
        <f aca="false">P125-1.437</f>
        <v>79.23346033964</v>
      </c>
      <c r="S125" s="6" t="n">
        <f aca="false">F125</f>
        <v>122</v>
      </c>
      <c r="T125" s="6" t="str">
        <f aca="false">G125</f>
        <v>DAV123</v>
      </c>
      <c r="U125" s="6" t="n">
        <f aca="false">H125</f>
        <v>1.42228689098607</v>
      </c>
      <c r="V125" s="6" t="n">
        <f aca="false">Q125</f>
        <v>79.23346033964</v>
      </c>
      <c r="W125" s="2" t="n">
        <f aca="false">J125</f>
        <v>4.03175274778013</v>
      </c>
    </row>
    <row r="126" customFormat="false" ht="12.8" hidden="false" customHeight="false" outlineLevel="0" collapsed="false">
      <c r="A126" s="6" t="s">
        <v>5</v>
      </c>
      <c r="B126" s="1" t="n">
        <v>124</v>
      </c>
      <c r="C126" s="2" t="n">
        <v>352080.4</v>
      </c>
      <c r="D126" s="2" t="n">
        <v>5265905.23</v>
      </c>
      <c r="E126" s="2" t="n">
        <v>2291.6</v>
      </c>
      <c r="F126" s="6" t="n">
        <f aca="false">B125</f>
        <v>123</v>
      </c>
      <c r="G126" s="7" t="str">
        <f aca="false">_xlfn.CONCAT("DAV",B126)</f>
        <v>DAV124</v>
      </c>
      <c r="H126" s="6" t="n">
        <f aca="false">SQRT((C126-C125)^2+(D126-D125)^2+(E126-E125)^2)</f>
        <v>3.06006535890779</v>
      </c>
      <c r="I126" s="6" t="n">
        <f aca="false">MOD((2*180*(ATAN((C125-C126)/(D126-D125))*180/PI())/360), 360)</f>
        <v>298.679036274031</v>
      </c>
      <c r="J126" s="2" t="n">
        <f aca="false">ASIN((E126-E125)/H126)*180/PI()</f>
        <v>29.3527818118558</v>
      </c>
      <c r="L126" s="6" t="n">
        <f aca="false">C126-C125</f>
        <v>2.34000000002561</v>
      </c>
      <c r="M126" s="6" t="n">
        <f aca="false">D126-D125</f>
        <v>1.28000000026077</v>
      </c>
      <c r="N126" s="6" t="n">
        <f aca="false">(C126-C125)/(D126-D125)</f>
        <v>1.82812499964757</v>
      </c>
      <c r="O126" s="12" t="n">
        <f aca="false">ATAN((C126-C125)/(D126-D125))*180/PI()</f>
        <v>61.3209637259689</v>
      </c>
      <c r="P126" s="6" t="n">
        <f aca="false">IF(M126&lt;0,O126+180,IF(AND(M126&gt;0,L126&lt;0),O126+360,O126))</f>
        <v>61.3209637259689</v>
      </c>
      <c r="Q126" s="6" t="n">
        <f aca="false">P126-1.437</f>
        <v>59.8839637259689</v>
      </c>
      <c r="S126" s="6" t="n">
        <f aca="false">F126</f>
        <v>123</v>
      </c>
      <c r="T126" s="6" t="str">
        <f aca="false">G126</f>
        <v>DAV124</v>
      </c>
      <c r="U126" s="6" t="n">
        <f aca="false">H126</f>
        <v>3.06006535890779</v>
      </c>
      <c r="V126" s="6" t="n">
        <f aca="false">Q126</f>
        <v>59.8839637259689</v>
      </c>
      <c r="W126" s="2" t="n">
        <f aca="false">J126</f>
        <v>29.3527818118558</v>
      </c>
    </row>
    <row r="127" customFormat="false" ht="12.8" hidden="false" customHeight="false" outlineLevel="0" collapsed="false">
      <c r="A127" s="6" t="s">
        <v>5</v>
      </c>
      <c r="B127" s="1" t="n">
        <v>125</v>
      </c>
      <c r="C127" s="2" t="n">
        <v>352083.99</v>
      </c>
      <c r="D127" s="2" t="n">
        <v>5265906.07</v>
      </c>
      <c r="E127" s="2" t="n">
        <v>2294.2</v>
      </c>
      <c r="F127" s="6" t="n">
        <f aca="false">B126</f>
        <v>124</v>
      </c>
      <c r="G127" s="7" t="str">
        <f aca="false">_xlfn.CONCAT("DAV",B127)</f>
        <v>DAV125</v>
      </c>
      <c r="H127" s="6" t="n">
        <f aca="false">SQRT((C127-C126)^2+(D127-D126)^2+(E127-E126)^2)</f>
        <v>4.51150750852918</v>
      </c>
      <c r="I127" s="6" t="n">
        <f aca="false">MOD((2*180*(ATAN((C126-C127)/(D127-D126))*180/PI())/360), 360)</f>
        <v>283.169334014577</v>
      </c>
      <c r="J127" s="2" t="n">
        <f aca="false">ASIN((E127-E126)/H127)*180/PI()</f>
        <v>35.1910060960909</v>
      </c>
      <c r="L127" s="6" t="n">
        <f aca="false">C127-C126</f>
        <v>3.5899999999674</v>
      </c>
      <c r="M127" s="6" t="n">
        <f aca="false">D127-D126</f>
        <v>0.839999999850988</v>
      </c>
      <c r="N127" s="6" t="n">
        <f aca="false">(C127-C126)/(D127-D126)</f>
        <v>4.27380952452887</v>
      </c>
      <c r="O127" s="12" t="n">
        <f aca="false">ATAN((C127-C126)/(D127-D126))*180/PI()</f>
        <v>76.8306659854233</v>
      </c>
      <c r="P127" s="6" t="n">
        <f aca="false">IF(M127&lt;0,O127+180,IF(AND(M127&gt;0,L127&lt;0),O127+360,O127))</f>
        <v>76.8306659854233</v>
      </c>
      <c r="Q127" s="6" t="n">
        <f aca="false">P127-1.437</f>
        <v>75.3936659854233</v>
      </c>
      <c r="S127" s="6" t="n">
        <f aca="false">F127</f>
        <v>124</v>
      </c>
      <c r="T127" s="6" t="str">
        <f aca="false">G127</f>
        <v>DAV125</v>
      </c>
      <c r="U127" s="6" t="n">
        <f aca="false">H127</f>
        <v>4.51150750852918</v>
      </c>
      <c r="V127" s="6" t="n">
        <f aca="false">Q127</f>
        <v>75.3936659854233</v>
      </c>
      <c r="W127" s="2" t="n">
        <f aca="false">J127</f>
        <v>35.1910060960909</v>
      </c>
    </row>
    <row r="128" customFormat="false" ht="12.8" hidden="false" customHeight="false" outlineLevel="0" collapsed="false">
      <c r="A128" s="6" t="s">
        <v>5</v>
      </c>
      <c r="B128" s="1" t="n">
        <v>126</v>
      </c>
      <c r="C128" s="2" t="n">
        <v>352087.18</v>
      </c>
      <c r="D128" s="2" t="n">
        <v>5265906.01</v>
      </c>
      <c r="E128" s="2" t="n">
        <v>2295.8</v>
      </c>
      <c r="F128" s="6" t="n">
        <f aca="false">B127</f>
        <v>125</v>
      </c>
      <c r="G128" s="7" t="str">
        <f aca="false">_xlfn.CONCAT("DAV",B128)</f>
        <v>DAV126</v>
      </c>
      <c r="H128" s="6" t="n">
        <f aca="false">SQRT((C128-C127)^2+(D128-D127)^2+(E128-E127)^2)</f>
        <v>3.56927163439246</v>
      </c>
      <c r="I128" s="6" t="n">
        <f aca="false">MOD((2*180*(ATAN((C127-C128)/(D128-D127))*180/PI())/360), 360)</f>
        <v>88.9224634808782</v>
      </c>
      <c r="J128" s="2" t="n">
        <f aca="false">ASIN((E128-E127)/H128)*180/PI()</f>
        <v>26.6327897806402</v>
      </c>
      <c r="L128" s="6" t="n">
        <f aca="false">C128-C127</f>
        <v>3.19000000000233</v>
      </c>
      <c r="M128" s="6" t="n">
        <f aca="false">D128-D127</f>
        <v>-0.0600000005215406</v>
      </c>
      <c r="N128" s="6" t="n">
        <f aca="false">(C128-C127)/(D128-D127)</f>
        <v>-53.1666662045625</v>
      </c>
      <c r="O128" s="12" t="n">
        <f aca="false">ATAN((C128-C127)/(D128-D127))*180/PI()</f>
        <v>-88.9224634808782</v>
      </c>
      <c r="P128" s="6" t="n">
        <f aca="false">IF(M128&lt;0,O128+180,IF(AND(M128&gt;0,L128&lt;0),O128+360,O128))</f>
        <v>91.0775365191219</v>
      </c>
      <c r="Q128" s="6" t="n">
        <f aca="false">P128-1.437</f>
        <v>89.6405365191219</v>
      </c>
      <c r="S128" s="6" t="n">
        <f aca="false">F128</f>
        <v>125</v>
      </c>
      <c r="T128" s="6" t="str">
        <f aca="false">G128</f>
        <v>DAV126</v>
      </c>
      <c r="U128" s="6" t="n">
        <f aca="false">H128</f>
        <v>3.56927163439246</v>
      </c>
      <c r="V128" s="6" t="n">
        <f aca="false">Q128</f>
        <v>89.6405365191219</v>
      </c>
      <c r="W128" s="2" t="n">
        <f aca="false">J128</f>
        <v>26.6327897806402</v>
      </c>
    </row>
    <row r="129" customFormat="false" ht="12.8" hidden="false" customHeight="false" outlineLevel="0" collapsed="false">
      <c r="A129" s="6" t="s">
        <v>5</v>
      </c>
      <c r="B129" s="1" t="n">
        <v>127</v>
      </c>
      <c r="C129" s="2" t="n">
        <v>352090.12</v>
      </c>
      <c r="D129" s="2" t="n">
        <v>5265904.29</v>
      </c>
      <c r="E129" s="2" t="n">
        <v>2295.7</v>
      </c>
      <c r="F129" s="6" t="n">
        <f aca="false">B128</f>
        <v>126</v>
      </c>
      <c r="G129" s="7" t="str">
        <f aca="false">_xlfn.CONCAT("DAV",B129)</f>
        <v>DAV127</v>
      </c>
      <c r="H129" s="6" t="n">
        <f aca="false">SQRT((C129-C128)^2+(D129-D128)^2+(E129-E128)^2)</f>
        <v>3.40763847834783</v>
      </c>
      <c r="I129" s="6" t="n">
        <f aca="false">MOD((2*180*(ATAN((C128-C129)/(D129-D128))*180/PI())/360), 360)</f>
        <v>59.6709139618222</v>
      </c>
      <c r="J129" s="2" t="n">
        <f aca="false">ASIN((E129-E128)/H129)*180/PI()</f>
        <v>-1.68163397352614</v>
      </c>
      <c r="L129" s="6" t="n">
        <f aca="false">C129-C128</f>
        <v>2.94000000000233</v>
      </c>
      <c r="M129" s="6" t="n">
        <f aca="false">D129-D128</f>
        <v>-1.71999999973923</v>
      </c>
      <c r="N129" s="6" t="n">
        <f aca="false">(C129-C128)/(D129-D128)</f>
        <v>-1.7093023258419</v>
      </c>
      <c r="O129" s="12" t="n">
        <f aca="false">ATAN((C129-C128)/(D129-D128))*180/PI()</f>
        <v>-59.6709139618222</v>
      </c>
      <c r="P129" s="6" t="n">
        <f aca="false">IF(M129&lt;0,O129+180,IF(AND(M129&gt;0,L129&lt;0),O129+360,O129))</f>
        <v>120.329086038178</v>
      </c>
      <c r="Q129" s="6" t="n">
        <f aca="false">P129-1.437</f>
        <v>118.892086038178</v>
      </c>
      <c r="S129" s="6" t="n">
        <f aca="false">F129</f>
        <v>126</v>
      </c>
      <c r="T129" s="6" t="str">
        <f aca="false">G129</f>
        <v>DAV127</v>
      </c>
      <c r="U129" s="6" t="n">
        <f aca="false">H129</f>
        <v>3.40763847834783</v>
      </c>
      <c r="V129" s="6" t="n">
        <f aca="false">Q129</f>
        <v>118.892086038178</v>
      </c>
      <c r="W129" s="2" t="n">
        <f aca="false">J129</f>
        <v>-1.68163397352614</v>
      </c>
    </row>
    <row r="130" customFormat="false" ht="12.8" hidden="false" customHeight="false" outlineLevel="0" collapsed="false">
      <c r="A130" s="6" t="s">
        <v>5</v>
      </c>
      <c r="B130" s="1" t="n">
        <v>128</v>
      </c>
      <c r="C130" s="2" t="n">
        <v>352092.65</v>
      </c>
      <c r="D130" s="2" t="n">
        <v>5265901.85</v>
      </c>
      <c r="E130" s="2" t="n">
        <v>2294.2</v>
      </c>
      <c r="F130" s="6" t="n">
        <f aca="false">B129</f>
        <v>127</v>
      </c>
      <c r="G130" s="7" t="str">
        <f aca="false">_xlfn.CONCAT("DAV",B130)</f>
        <v>DAV128</v>
      </c>
      <c r="H130" s="6" t="n">
        <f aca="false">SQRT((C130-C129)^2+(D130-D129)^2+(E130-E129)^2)</f>
        <v>3.82158344173474</v>
      </c>
      <c r="I130" s="6" t="n">
        <f aca="false">MOD((2*180*(ATAN((C129-C130)/(D130-D129))*180/PI())/360), 360)</f>
        <v>46.0374359328251</v>
      </c>
      <c r="J130" s="2" t="n">
        <f aca="false">ASIN((E130-E129)/H130)*180/PI()</f>
        <v>-23.1106109662942</v>
      </c>
      <c r="L130" s="6" t="n">
        <f aca="false">C130-C129</f>
        <v>2.53000000002794</v>
      </c>
      <c r="M130" s="6" t="n">
        <f aca="false">D130-D129</f>
        <v>-2.44000000040978</v>
      </c>
      <c r="N130" s="6" t="n">
        <f aca="false">(C130-C129)/(D130-D129)</f>
        <v>-1.03688524573895</v>
      </c>
      <c r="O130" s="12" t="n">
        <f aca="false">ATAN((C130-C129)/(D130-D129))*180/PI()</f>
        <v>-46.0374359328251</v>
      </c>
      <c r="P130" s="6" t="n">
        <f aca="false">IF(M130&lt;0,O130+180,IF(AND(M130&gt;0,L130&lt;0),O130+360,O130))</f>
        <v>133.962564067175</v>
      </c>
      <c r="Q130" s="6" t="n">
        <f aca="false">P130-1.437</f>
        <v>132.525564067175</v>
      </c>
      <c r="S130" s="6" t="n">
        <f aca="false">F130</f>
        <v>127</v>
      </c>
      <c r="T130" s="6" t="str">
        <f aca="false">G130</f>
        <v>DAV128</v>
      </c>
      <c r="U130" s="6" t="n">
        <f aca="false">H130</f>
        <v>3.82158344173474</v>
      </c>
      <c r="V130" s="6" t="n">
        <f aca="false">Q130</f>
        <v>132.525564067175</v>
      </c>
      <c r="W130" s="2" t="n">
        <f aca="false">J130</f>
        <v>-23.1106109662942</v>
      </c>
    </row>
    <row r="131" customFormat="false" ht="12.8" hidden="false" customHeight="false" outlineLevel="0" collapsed="false">
      <c r="A131" s="6" t="s">
        <v>5</v>
      </c>
      <c r="B131" s="1" t="n">
        <v>129</v>
      </c>
      <c r="C131" s="2" t="n">
        <v>352094.7</v>
      </c>
      <c r="D131" s="2" t="n">
        <v>5265898.9</v>
      </c>
      <c r="E131" s="2" t="n">
        <v>2292.2</v>
      </c>
      <c r="F131" s="6" t="n">
        <f aca="false">B130</f>
        <v>128</v>
      </c>
      <c r="G131" s="7" t="str">
        <f aca="false">_xlfn.CONCAT("DAV",B131)</f>
        <v>DAV129</v>
      </c>
      <c r="H131" s="6" t="n">
        <f aca="false">SQRT((C131-C130)^2+(D131-D130)^2+(E131-E130)^2)</f>
        <v>4.11156904302438</v>
      </c>
      <c r="I131" s="6" t="n">
        <f aca="false">MOD((2*180*(ATAN((C130-C131)/(D131-D130))*180/PI())/360), 360)</f>
        <v>34.7960262848971</v>
      </c>
      <c r="J131" s="2" t="n">
        <f aca="false">ASIN((E131-E130)/H131)*180/PI()</f>
        <v>-29.1063557139928</v>
      </c>
      <c r="L131" s="6" t="n">
        <f aca="false">C131-C130</f>
        <v>2.04999999998836</v>
      </c>
      <c r="M131" s="6" t="n">
        <f aca="false">D131-D130</f>
        <v>-2.94999999925494</v>
      </c>
      <c r="N131" s="6" t="n">
        <f aca="false">(C131-C130)/(D131-D130)</f>
        <v>-0.694915254408851</v>
      </c>
      <c r="O131" s="12" t="n">
        <f aca="false">ATAN((C131-C130)/(D131-D130))*180/PI()</f>
        <v>-34.7960262848971</v>
      </c>
      <c r="P131" s="6" t="n">
        <f aca="false">IF(M131&lt;0,O131+180,IF(AND(M131&gt;0,L131&lt;0),O131+360,O131))</f>
        <v>145.203973715103</v>
      </c>
      <c r="Q131" s="6" t="n">
        <f aca="false">P131-1.437</f>
        <v>143.766973715103</v>
      </c>
      <c r="S131" s="6" t="n">
        <f aca="false">F131</f>
        <v>128</v>
      </c>
      <c r="T131" s="6" t="str">
        <f aca="false">G131</f>
        <v>DAV129</v>
      </c>
      <c r="U131" s="6" t="n">
        <f aca="false">H131</f>
        <v>4.11156904302438</v>
      </c>
      <c r="V131" s="6" t="n">
        <f aca="false">Q131</f>
        <v>143.766973715103</v>
      </c>
      <c r="W131" s="2" t="n">
        <f aca="false">J131</f>
        <v>-29.1063557139928</v>
      </c>
    </row>
    <row r="132" customFormat="false" ht="12.8" hidden="false" customHeight="false" outlineLevel="0" collapsed="false">
      <c r="A132" s="6" t="s">
        <v>5</v>
      </c>
      <c r="B132" s="1" t="n">
        <v>130</v>
      </c>
      <c r="C132" s="2" t="n">
        <v>352099.94</v>
      </c>
      <c r="D132" s="2" t="n">
        <v>5265893.5</v>
      </c>
      <c r="E132" s="2" t="n">
        <v>2287.6</v>
      </c>
      <c r="F132" s="6" t="n">
        <f aca="false">B131</f>
        <v>129</v>
      </c>
      <c r="G132" s="7" t="str">
        <f aca="false">_xlfn.CONCAT("DAV",B132)</f>
        <v>DAV130</v>
      </c>
      <c r="H132" s="6" t="n">
        <f aca="false">SQRT((C132-C131)^2+(D132-D131)^2+(E132-E131)^2)</f>
        <v>8.81916095804612</v>
      </c>
      <c r="I132" s="6" t="n">
        <f aca="false">MOD((2*180*(ATAN((C131-C132)/(D132-D131))*180/PI())/360), 360)</f>
        <v>44.1384742634064</v>
      </c>
      <c r="J132" s="2" t="n">
        <f aca="false">ASIN((E132-E131)/H132)*180/PI()</f>
        <v>-31.4390714621883</v>
      </c>
      <c r="L132" s="6" t="n">
        <f aca="false">C132-C131</f>
        <v>5.23999999999069</v>
      </c>
      <c r="M132" s="6" t="n">
        <f aca="false">D132-D131</f>
        <v>-5.40000000037253</v>
      </c>
      <c r="N132" s="6" t="n">
        <f aca="false">(C132-C131)/(D132-D131)</f>
        <v>-0.970370370301703</v>
      </c>
      <c r="O132" s="12" t="n">
        <f aca="false">ATAN((C132-C131)/(D132-D131))*180/PI()</f>
        <v>-44.1384742634064</v>
      </c>
      <c r="P132" s="6" t="n">
        <f aca="false">IF(M132&lt;0,O132+180,IF(AND(M132&gt;0,L132&lt;0),O132+360,O132))</f>
        <v>135.861525736594</v>
      </c>
      <c r="Q132" s="6" t="n">
        <f aca="false">P132-1.437</f>
        <v>134.424525736594</v>
      </c>
      <c r="S132" s="6" t="n">
        <f aca="false">F132</f>
        <v>129</v>
      </c>
      <c r="T132" s="6" t="str">
        <f aca="false">G132</f>
        <v>DAV130</v>
      </c>
      <c r="U132" s="6" t="n">
        <f aca="false">H132</f>
        <v>8.81916095804612</v>
      </c>
      <c r="V132" s="6" t="n">
        <f aca="false">Q132</f>
        <v>134.424525736594</v>
      </c>
      <c r="W132" s="2" t="n">
        <f aca="false">J132</f>
        <v>-31.4390714621883</v>
      </c>
    </row>
    <row r="133" customFormat="false" ht="12.8" hidden="false" customHeight="false" outlineLevel="0" collapsed="false">
      <c r="A133" s="6" t="s">
        <v>5</v>
      </c>
      <c r="B133" s="1" t="n">
        <v>131</v>
      </c>
      <c r="C133" s="2" t="n">
        <v>352112.85</v>
      </c>
      <c r="D133" s="2" t="n">
        <v>5265881.84</v>
      </c>
      <c r="E133" s="2" t="n">
        <v>2283</v>
      </c>
      <c r="F133" s="6" t="n">
        <f aca="false">B132</f>
        <v>130</v>
      </c>
      <c r="G133" s="7" t="str">
        <f aca="false">_xlfn.CONCAT("DAV",B133)</f>
        <v>DAV131</v>
      </c>
      <c r="H133" s="6" t="n">
        <f aca="false">SQRT((C133-C132)^2+(D133-D132)^2+(E133-E132)^2)</f>
        <v>17.9939906636303</v>
      </c>
      <c r="I133" s="6" t="n">
        <f aca="false">MOD((2*180*(ATAN((C132-C133)/(D133-D132))*180/PI())/360), 360)</f>
        <v>47.9124147231723</v>
      </c>
      <c r="J133" s="2" t="n">
        <f aca="false">ASIN((E133-E132)/H133)*180/PI()</f>
        <v>-14.8115649015476</v>
      </c>
      <c r="L133" s="6" t="n">
        <f aca="false">C133-C132</f>
        <v>12.9099999999744</v>
      </c>
      <c r="M133" s="6" t="n">
        <f aca="false">D133-D132</f>
        <v>-11.660000000149</v>
      </c>
      <c r="N133" s="6" t="n">
        <f aca="false">(C133-C132)/(D133-D132)</f>
        <v>-1.10720411662173</v>
      </c>
      <c r="O133" s="12" t="n">
        <f aca="false">ATAN((C133-C132)/(D133-D132))*180/PI()</f>
        <v>-47.9124147231723</v>
      </c>
      <c r="P133" s="6" t="n">
        <f aca="false">IF(M133&lt;0,O133+180,IF(AND(M133&gt;0,L133&lt;0),O133+360,O133))</f>
        <v>132.087585276828</v>
      </c>
      <c r="Q133" s="6" t="n">
        <f aca="false">P133-1.437</f>
        <v>130.650585276828</v>
      </c>
      <c r="S133" s="6" t="n">
        <f aca="false">F133</f>
        <v>130</v>
      </c>
      <c r="T133" s="6" t="str">
        <f aca="false">G133</f>
        <v>DAV131</v>
      </c>
      <c r="U133" s="6" t="n">
        <f aca="false">H133</f>
        <v>17.9939906636303</v>
      </c>
      <c r="V133" s="6" t="n">
        <f aca="false">Q133</f>
        <v>130.650585276828</v>
      </c>
      <c r="W133" s="2" t="n">
        <f aca="false">J133</f>
        <v>-14.8115649015476</v>
      </c>
    </row>
    <row r="134" customFormat="false" ht="12.8" hidden="false" customHeight="false" outlineLevel="0" collapsed="false">
      <c r="A134" s="6" t="s">
        <v>5</v>
      </c>
      <c r="B134" s="1" t="n">
        <v>132</v>
      </c>
      <c r="C134" s="2" t="n">
        <v>352119.22</v>
      </c>
      <c r="D134" s="2" t="n">
        <v>5265873.83</v>
      </c>
      <c r="E134" s="2" t="n">
        <v>2281.3</v>
      </c>
      <c r="F134" s="6" t="n">
        <f aca="false">B133</f>
        <v>131</v>
      </c>
      <c r="G134" s="7" t="str">
        <f aca="false">_xlfn.CONCAT("DAV",B134)</f>
        <v>DAV132</v>
      </c>
      <c r="H134" s="6" t="n">
        <f aca="false">SQRT((C134-C133)^2+(D134-D133)^2+(E134-E133)^2)</f>
        <v>10.3743433525385</v>
      </c>
      <c r="I134" s="6" t="n">
        <f aca="false">MOD((2*180*(ATAN((C133-C134)/(D134-D133))*180/PI())/360), 360)</f>
        <v>38.4936833105196</v>
      </c>
      <c r="J134" s="2" t="n">
        <f aca="false">ASIN((E134-E133)/H134)*180/PI()</f>
        <v>-9.43135242014499</v>
      </c>
      <c r="L134" s="6" t="n">
        <f aca="false">C134-C133</f>
        <v>6.36999999999534</v>
      </c>
      <c r="M134" s="6" t="n">
        <f aca="false">D134-D133</f>
        <v>-8.00999999977648</v>
      </c>
      <c r="N134" s="6" t="n">
        <f aca="false">(C134-C133)/(D134-D133)</f>
        <v>-0.795255930109001</v>
      </c>
      <c r="O134" s="12" t="n">
        <f aca="false">ATAN((C134-C133)/(D134-D133))*180/PI()</f>
        <v>-38.4936833105196</v>
      </c>
      <c r="P134" s="6" t="n">
        <f aca="false">IF(M134&lt;0,O134+180,IF(AND(M134&gt;0,L134&lt;0),O134+360,O134))</f>
        <v>141.50631668948</v>
      </c>
      <c r="Q134" s="6" t="n">
        <f aca="false">P134-1.437</f>
        <v>140.06931668948</v>
      </c>
      <c r="S134" s="6" t="n">
        <f aca="false">F134</f>
        <v>131</v>
      </c>
      <c r="T134" s="6" t="str">
        <f aca="false">G134</f>
        <v>DAV132</v>
      </c>
      <c r="U134" s="6" t="n">
        <f aca="false">H134</f>
        <v>10.3743433525385</v>
      </c>
      <c r="V134" s="6" t="n">
        <f aca="false">Q134</f>
        <v>140.06931668948</v>
      </c>
      <c r="W134" s="2" t="n">
        <f aca="false">J134</f>
        <v>-9.43135242014499</v>
      </c>
    </row>
    <row r="135" customFormat="false" ht="12.8" hidden="false" customHeight="false" outlineLevel="0" collapsed="false">
      <c r="A135" s="6" t="s">
        <v>5</v>
      </c>
      <c r="B135" s="1" t="n">
        <v>133</v>
      </c>
      <c r="C135" s="2" t="n">
        <v>352133.63</v>
      </c>
      <c r="D135" s="2" t="n">
        <v>5265859.99</v>
      </c>
      <c r="E135" s="2" t="n">
        <v>2292.3</v>
      </c>
      <c r="F135" s="6" t="n">
        <f aca="false">B134</f>
        <v>132</v>
      </c>
      <c r="G135" s="7" t="str">
        <f aca="false">_xlfn.CONCAT("DAV",B135)</f>
        <v>DAV133</v>
      </c>
      <c r="H135" s="6" t="n">
        <f aca="false">SQRT((C135-C134)^2+(D135-D134)^2+(E135-E134)^2)</f>
        <v>22.8077552599289</v>
      </c>
      <c r="I135" s="6" t="n">
        <f aca="false">MOD((2*180*(ATAN((C134-C135)/(D135-D134))*180/PI())/360), 360)</f>
        <v>46.1558995937894</v>
      </c>
      <c r="J135" s="2" t="n">
        <f aca="false">ASIN((E135-E134)/H135)*180/PI()</f>
        <v>28.8352094675965</v>
      </c>
      <c r="L135" s="6" t="n">
        <f aca="false">C135-C134</f>
        <v>14.4100000000326</v>
      </c>
      <c r="M135" s="6" t="n">
        <f aca="false">D135-D134</f>
        <v>-13.839999999851</v>
      </c>
      <c r="N135" s="6" t="n">
        <f aca="false">(C135-C134)/(D135-D134)</f>
        <v>-1.04118497111183</v>
      </c>
      <c r="O135" s="12" t="n">
        <f aca="false">ATAN((C135-C134)/(D135-D134))*180/PI()</f>
        <v>-46.1558995937894</v>
      </c>
      <c r="P135" s="6" t="n">
        <f aca="false">IF(M135&lt;0,O135+180,IF(AND(M135&gt;0,L135&lt;0),O135+360,O135))</f>
        <v>133.844100406211</v>
      </c>
      <c r="Q135" s="6" t="n">
        <f aca="false">P135-1.437</f>
        <v>132.407100406211</v>
      </c>
      <c r="S135" s="6" t="n">
        <f aca="false">F135</f>
        <v>132</v>
      </c>
      <c r="T135" s="6" t="str">
        <f aca="false">G135</f>
        <v>DAV133</v>
      </c>
      <c r="U135" s="6" t="n">
        <f aca="false">H135</f>
        <v>22.8077552599289</v>
      </c>
      <c r="V135" s="6" t="n">
        <f aca="false">Q135</f>
        <v>132.407100406211</v>
      </c>
      <c r="W135" s="2" t="n">
        <f aca="false">J135</f>
        <v>28.8352094675965</v>
      </c>
    </row>
    <row r="136" customFormat="false" ht="12.8" hidden="false" customHeight="false" outlineLevel="0" collapsed="false">
      <c r="A136" s="6" t="s">
        <v>5</v>
      </c>
      <c r="B136" s="1" t="n">
        <v>134</v>
      </c>
      <c r="C136" s="2" t="n">
        <v>352139.75</v>
      </c>
      <c r="D136" s="2" t="n">
        <v>5265857.69</v>
      </c>
      <c r="E136" s="2" t="n">
        <v>2293.8</v>
      </c>
      <c r="F136" s="6" t="n">
        <f aca="false">B135</f>
        <v>133</v>
      </c>
      <c r="G136" s="7" t="str">
        <f aca="false">_xlfn.CONCAT("DAV",B136)</f>
        <v>DAV134</v>
      </c>
      <c r="H136" s="6" t="n">
        <f aca="false">SQRT((C136-C135)^2+(D136-D135)^2+(E136-E135)^2)</f>
        <v>6.70778652008889</v>
      </c>
      <c r="I136" s="6" t="n">
        <f aca="false">MOD((2*180*(ATAN((C135-C136)/(D136-D135))*180/PI())/360), 360)</f>
        <v>69.4029266618299</v>
      </c>
      <c r="J136" s="2" t="n">
        <f aca="false">ASIN((E136-E135)/H136)*180/PI()</f>
        <v>12.921784342717</v>
      </c>
      <c r="L136" s="6" t="n">
        <f aca="false">C136-C135</f>
        <v>6.11999999999534</v>
      </c>
      <c r="M136" s="6" t="n">
        <f aca="false">D136-D135</f>
        <v>-2.29999999981374</v>
      </c>
      <c r="N136" s="6" t="n">
        <f aca="false">(C136-C135)/(D136-D135)</f>
        <v>-2.66086956543086</v>
      </c>
      <c r="O136" s="12" t="n">
        <f aca="false">ATAN((C136-C135)/(D136-D135))*180/PI()</f>
        <v>-69.4029266618299</v>
      </c>
      <c r="P136" s="6" t="n">
        <f aca="false">IF(M136&lt;0,O136+180,IF(AND(M136&gt;0,L136&lt;0),O136+360,O136))</f>
        <v>110.59707333817</v>
      </c>
      <c r="Q136" s="6" t="n">
        <f aca="false">P136-1.437</f>
        <v>109.16007333817</v>
      </c>
      <c r="S136" s="6" t="n">
        <f aca="false">F136</f>
        <v>133</v>
      </c>
      <c r="T136" s="6" t="str">
        <f aca="false">G136</f>
        <v>DAV134</v>
      </c>
      <c r="U136" s="6" t="n">
        <f aca="false">H136</f>
        <v>6.70778652008889</v>
      </c>
      <c r="V136" s="6" t="n">
        <f aca="false">Q136</f>
        <v>109.16007333817</v>
      </c>
      <c r="W136" s="2" t="n">
        <f aca="false">J136</f>
        <v>12.921784342717</v>
      </c>
    </row>
    <row r="137" customFormat="false" ht="12.8" hidden="false" customHeight="false" outlineLevel="0" collapsed="false">
      <c r="A137" s="6" t="s">
        <v>5</v>
      </c>
      <c r="B137" s="1" t="n">
        <v>135</v>
      </c>
      <c r="C137" s="2" t="n">
        <v>352146.13</v>
      </c>
      <c r="D137" s="2" t="n">
        <v>5265851.61</v>
      </c>
      <c r="E137" s="2" t="n">
        <v>2293.6</v>
      </c>
      <c r="F137" s="6" t="n">
        <f aca="false">B136</f>
        <v>134</v>
      </c>
      <c r="G137" s="7" t="str">
        <f aca="false">_xlfn.CONCAT("DAV",B137)</f>
        <v>DAV135</v>
      </c>
      <c r="H137" s="6" t="n">
        <f aca="false">SQRT((C137-C136)^2+(D137-D136)^2+(E137-E136)^2)</f>
        <v>8.81537293601159</v>
      </c>
      <c r="I137" s="6" t="n">
        <f aca="false">MOD((2*180*(ATAN((C136-C137)/(D137-D136))*180/PI())/360), 360)</f>
        <v>46.3792466729039</v>
      </c>
      <c r="J137" s="2" t="n">
        <f aca="false">ASIN((E137-E136)/H137)*180/PI()</f>
        <v>-1.30001751185234</v>
      </c>
      <c r="L137" s="6" t="n">
        <f aca="false">C137-C136</f>
        <v>6.38000000000466</v>
      </c>
      <c r="M137" s="6" t="n">
        <f aca="false">D137-D136</f>
        <v>-6.08000000007451</v>
      </c>
      <c r="N137" s="6" t="n">
        <f aca="false">(C137-C136)/(D137-D136)</f>
        <v>-1.04934210525107</v>
      </c>
      <c r="O137" s="12" t="n">
        <f aca="false">ATAN((C137-C136)/(D137-D136))*180/PI()</f>
        <v>-46.3792466729039</v>
      </c>
      <c r="P137" s="6" t="n">
        <f aca="false">IF(M137&lt;0,O137+180,IF(AND(M137&gt;0,L137&lt;0),O137+360,O137))</f>
        <v>133.620753327096</v>
      </c>
      <c r="Q137" s="6" t="n">
        <f aca="false">P137-1.437</f>
        <v>132.183753327096</v>
      </c>
      <c r="S137" s="6" t="n">
        <f aca="false">F137</f>
        <v>134</v>
      </c>
      <c r="T137" s="6" t="str">
        <f aca="false">G137</f>
        <v>DAV135</v>
      </c>
      <c r="U137" s="6" t="n">
        <f aca="false">H137</f>
        <v>8.81537293601159</v>
      </c>
      <c r="V137" s="6" t="n">
        <f aca="false">Q137</f>
        <v>132.183753327096</v>
      </c>
      <c r="W137" s="2" t="n">
        <f aca="false">J137</f>
        <v>-1.30001751185234</v>
      </c>
    </row>
    <row r="138" customFormat="false" ht="12.8" hidden="false" customHeight="false" outlineLevel="0" collapsed="false">
      <c r="A138" s="6" t="s">
        <v>5</v>
      </c>
      <c r="B138" s="1" t="n">
        <v>136</v>
      </c>
      <c r="C138" s="2" t="n">
        <v>352150.69</v>
      </c>
      <c r="D138" s="2" t="n">
        <v>5265835.29</v>
      </c>
      <c r="E138" s="2" t="n">
        <v>2291.6</v>
      </c>
      <c r="F138" s="6" t="n">
        <f aca="false">B137</f>
        <v>135</v>
      </c>
      <c r="G138" s="7" t="str">
        <f aca="false">_xlfn.CONCAT("DAV",B138)</f>
        <v>DAV136</v>
      </c>
      <c r="H138" s="6" t="n">
        <f aca="false">SQRT((C138-C137)^2+(D138-D137)^2+(E138-E137)^2)</f>
        <v>17.062707874476</v>
      </c>
      <c r="I138" s="6" t="n">
        <f aca="false">MOD((2*180*(ATAN((C137-C138)/(D138-D137))*180/PI())/360), 360)</f>
        <v>15.6109885334009</v>
      </c>
      <c r="J138" s="2" t="n">
        <f aca="false">ASIN((E138-E137)/H138)*180/PI()</f>
        <v>-6.73138147755692</v>
      </c>
      <c r="L138" s="6" t="n">
        <f aca="false">C138-C137</f>
        <v>4.55999999999767</v>
      </c>
      <c r="M138" s="6" t="n">
        <f aca="false">D138-D137</f>
        <v>-16.320000000298</v>
      </c>
      <c r="N138" s="6" t="n">
        <f aca="false">(C138-C137)/(D138-D137)</f>
        <v>-0.279411764700637</v>
      </c>
      <c r="O138" s="12" t="n">
        <f aca="false">ATAN((C138-C137)/(D138-D137))*180/PI()</f>
        <v>-15.6109885334009</v>
      </c>
      <c r="P138" s="6" t="n">
        <f aca="false">IF(M138&lt;0,O138+180,IF(AND(M138&gt;0,L138&lt;0),O138+360,O138))</f>
        <v>164.389011466599</v>
      </c>
      <c r="Q138" s="6" t="n">
        <f aca="false">P138-1.437</f>
        <v>162.952011466599</v>
      </c>
      <c r="S138" s="6" t="n">
        <f aca="false">F138</f>
        <v>135</v>
      </c>
      <c r="T138" s="6" t="str">
        <f aca="false">G138</f>
        <v>DAV136</v>
      </c>
      <c r="U138" s="6" t="n">
        <f aca="false">H138</f>
        <v>17.062707874476</v>
      </c>
      <c r="V138" s="6" t="n">
        <f aca="false">Q138</f>
        <v>162.952011466599</v>
      </c>
      <c r="W138" s="2" t="n">
        <f aca="false">J138</f>
        <v>-6.73138147755692</v>
      </c>
    </row>
    <row r="139" customFormat="false" ht="12.8" hidden="false" customHeight="false" outlineLevel="0" collapsed="false">
      <c r="A139" s="6" t="s">
        <v>5</v>
      </c>
      <c r="B139" s="1" t="n">
        <v>137</v>
      </c>
      <c r="C139" s="2" t="n">
        <v>352152.22</v>
      </c>
      <c r="D139" s="2" t="n">
        <v>5265831.83</v>
      </c>
      <c r="E139" s="2" t="n">
        <v>2291.4</v>
      </c>
      <c r="F139" s="6" t="n">
        <f aca="false">B138</f>
        <v>136</v>
      </c>
      <c r="G139" s="7" t="str">
        <f aca="false">_xlfn.CONCAT("DAV",B139)</f>
        <v>DAV137</v>
      </c>
      <c r="H139" s="6" t="n">
        <f aca="false">SQRT((C139-C138)^2+(D139-D138)^2+(E139-E138)^2)</f>
        <v>3.78846934785667</v>
      </c>
      <c r="I139" s="6" t="n">
        <f aca="false">MOD((2*180*(ATAN((C138-C139)/(D139-D138))*180/PI())/360), 360)</f>
        <v>23.8548480767123</v>
      </c>
      <c r="J139" s="2" t="n">
        <f aca="false">ASIN((E139-E138)/H139)*180/PI()</f>
        <v>-3.02615232137766</v>
      </c>
      <c r="L139" s="6" t="n">
        <f aca="false">C139-C138</f>
        <v>1.52999999996973</v>
      </c>
      <c r="M139" s="6" t="n">
        <f aca="false">D139-D138</f>
        <v>-3.45999999996275</v>
      </c>
      <c r="N139" s="6" t="n">
        <f aca="false">(C139-C138)/(D139-D138)</f>
        <v>-0.442196531787921</v>
      </c>
      <c r="O139" s="12" t="n">
        <f aca="false">ATAN((C139-C138)/(D139-D138))*180/PI()</f>
        <v>-23.8548480767123</v>
      </c>
      <c r="P139" s="6" t="n">
        <f aca="false">IF(M139&lt;0,O139+180,IF(AND(M139&gt;0,L139&lt;0),O139+360,O139))</f>
        <v>156.145151923288</v>
      </c>
      <c r="Q139" s="6" t="n">
        <f aca="false">P139-1.437</f>
        <v>154.708151923288</v>
      </c>
      <c r="S139" s="6" t="n">
        <f aca="false">F139</f>
        <v>136</v>
      </c>
      <c r="T139" s="6" t="str">
        <f aca="false">G139</f>
        <v>DAV137</v>
      </c>
      <c r="U139" s="6" t="n">
        <f aca="false">H139</f>
        <v>3.78846934785667</v>
      </c>
      <c r="V139" s="6" t="n">
        <f aca="false">Q139</f>
        <v>154.708151923288</v>
      </c>
      <c r="W139" s="2" t="n">
        <f aca="false">J139</f>
        <v>-3.02615232137766</v>
      </c>
    </row>
    <row r="140" customFormat="false" ht="12.8" hidden="false" customHeight="false" outlineLevel="0" collapsed="false">
      <c r="A140" s="6" t="s">
        <v>5</v>
      </c>
      <c r="B140" s="1" t="n">
        <v>138</v>
      </c>
      <c r="C140" s="2" t="n">
        <v>352154.55</v>
      </c>
      <c r="D140" s="2" t="n">
        <v>5265828.58</v>
      </c>
      <c r="E140" s="2" t="n">
        <v>2291.1</v>
      </c>
      <c r="F140" s="6" t="n">
        <f aca="false">B139</f>
        <v>137</v>
      </c>
      <c r="G140" s="7" t="str">
        <f aca="false">_xlfn.CONCAT("DAV",B140)</f>
        <v>DAV138</v>
      </c>
      <c r="H140" s="6" t="n">
        <f aca="false">SQRT((C140-C139)^2+(D140-D139)^2+(E140-E139)^2)</f>
        <v>4.01016209149656</v>
      </c>
      <c r="I140" s="6" t="n">
        <f aca="false">MOD((2*180*(ATAN((C139-C140)/(D140-D139))*180/PI())/360), 360)</f>
        <v>35.6376121899753</v>
      </c>
      <c r="J140" s="2" t="n">
        <f aca="false">ASIN((E140-E139)/H140)*180/PI()</f>
        <v>-4.29030219850245</v>
      </c>
      <c r="L140" s="6" t="n">
        <f aca="false">C140-C139</f>
        <v>2.3300000000163</v>
      </c>
      <c r="M140" s="6" t="n">
        <f aca="false">D140-D139</f>
        <v>-3.25</v>
      </c>
      <c r="N140" s="6" t="n">
        <f aca="false">(C140-C139)/(D140-D139)</f>
        <v>-0.716923076928092</v>
      </c>
      <c r="O140" s="12" t="n">
        <f aca="false">ATAN((C140-C139)/(D140-D139))*180/PI()</f>
        <v>-35.6376121899753</v>
      </c>
      <c r="P140" s="6" t="n">
        <f aca="false">IF(M140&lt;0,O140+180,IF(AND(M140&gt;0,L140&lt;0),O140+360,O140))</f>
        <v>144.362387810025</v>
      </c>
      <c r="Q140" s="6" t="n">
        <f aca="false">P140-1.437</f>
        <v>142.925387810025</v>
      </c>
      <c r="S140" s="6" t="n">
        <f aca="false">F140</f>
        <v>137</v>
      </c>
      <c r="T140" s="6" t="str">
        <f aca="false">G140</f>
        <v>DAV138</v>
      </c>
      <c r="U140" s="6" t="n">
        <f aca="false">H140</f>
        <v>4.01016209149656</v>
      </c>
      <c r="V140" s="6" t="n">
        <f aca="false">Q140</f>
        <v>142.925387810025</v>
      </c>
      <c r="W140" s="2" t="n">
        <f aca="false">J140</f>
        <v>-4.29030219850245</v>
      </c>
    </row>
    <row r="141" customFormat="false" ht="12.8" hidden="false" customHeight="false" outlineLevel="0" collapsed="false">
      <c r="A141" s="6" t="s">
        <v>5</v>
      </c>
      <c r="B141" s="1" t="n">
        <v>139</v>
      </c>
      <c r="C141" s="2" t="n">
        <v>352159.86</v>
      </c>
      <c r="D141" s="2" t="n">
        <v>5265825.83</v>
      </c>
      <c r="E141" s="2" t="n">
        <v>2290.3</v>
      </c>
      <c r="F141" s="6" t="n">
        <f aca="false">B140</f>
        <v>138</v>
      </c>
      <c r="G141" s="7" t="str">
        <f aca="false">_xlfn.CONCAT("DAV",B141)</f>
        <v>DAV139</v>
      </c>
      <c r="H141" s="6" t="n">
        <f aca="false">SQRT((C141-C140)^2+(D141-D140)^2+(E141-E140)^2)</f>
        <v>6.0331252266114</v>
      </c>
      <c r="I141" s="6" t="n">
        <f aca="false">MOD((2*180*(ATAN((C140-C141)/(D141-D140))*180/PI())/360), 360)</f>
        <v>62.6207778900168</v>
      </c>
      <c r="J141" s="2" t="n">
        <f aca="false">ASIN((E141-E140)/H141)*180/PI()</f>
        <v>-7.61993509439931</v>
      </c>
      <c r="L141" s="6" t="n">
        <f aca="false">C141-C140</f>
        <v>5.30999999999767</v>
      </c>
      <c r="M141" s="6" t="n">
        <f aca="false">D141-D140</f>
        <v>-2.75</v>
      </c>
      <c r="N141" s="6" t="n">
        <f aca="false">(C141-C140)/(D141-D140)</f>
        <v>-1.93090909090824</v>
      </c>
      <c r="O141" s="12" t="n">
        <f aca="false">ATAN((C141-C140)/(D141-D140))*180/PI()</f>
        <v>-62.6207778900168</v>
      </c>
      <c r="P141" s="6" t="n">
        <f aca="false">IF(M141&lt;0,O141+180,IF(AND(M141&gt;0,L141&lt;0),O141+360,O141))</f>
        <v>117.379222109983</v>
      </c>
      <c r="Q141" s="6" t="n">
        <f aca="false">P141-1.437</f>
        <v>115.942222109983</v>
      </c>
      <c r="S141" s="6" t="n">
        <f aca="false">F141</f>
        <v>138</v>
      </c>
      <c r="T141" s="6" t="str">
        <f aca="false">G141</f>
        <v>DAV139</v>
      </c>
      <c r="U141" s="6" t="n">
        <f aca="false">H141</f>
        <v>6.0331252266114</v>
      </c>
      <c r="V141" s="6" t="n">
        <f aca="false">Q141</f>
        <v>115.942222109983</v>
      </c>
      <c r="W141" s="2" t="n">
        <f aca="false">J141</f>
        <v>-7.61993509439931</v>
      </c>
    </row>
    <row r="142" customFormat="false" ht="12.8" hidden="false" customHeight="false" outlineLevel="0" collapsed="false">
      <c r="A142" s="6" t="s">
        <v>5</v>
      </c>
      <c r="B142" s="1" t="n">
        <v>140</v>
      </c>
      <c r="C142" s="2" t="n">
        <v>352167.02</v>
      </c>
      <c r="D142" s="2" t="n">
        <v>5265823.97</v>
      </c>
      <c r="E142" s="2" t="n">
        <v>2288.9</v>
      </c>
      <c r="F142" s="6" t="n">
        <f aca="false">B141</f>
        <v>139</v>
      </c>
      <c r="G142" s="7" t="str">
        <f aca="false">_xlfn.CONCAT("DAV",B142)</f>
        <v>DAV140</v>
      </c>
      <c r="H142" s="6" t="n">
        <f aca="false">SQRT((C142-C141)^2+(D142-D141)^2+(E142-E141)^2)</f>
        <v>7.52895743125928</v>
      </c>
      <c r="I142" s="6" t="n">
        <f aca="false">MOD((2*180*(ATAN((C141-C142)/(D142-D141))*180/PI())/360), 360)</f>
        <v>75.4377772640938</v>
      </c>
      <c r="J142" s="2" t="n">
        <f aca="false">ASIN((E142-E141)/H142)*180/PI()</f>
        <v>-10.7164498805885</v>
      </c>
      <c r="L142" s="6" t="n">
        <f aca="false">C142-C141</f>
        <v>7.1600000000326</v>
      </c>
      <c r="M142" s="6" t="n">
        <f aca="false">D142-D141</f>
        <v>-1.86000000033528</v>
      </c>
      <c r="N142" s="6" t="n">
        <f aca="false">(C142-C141)/(D142-D141)</f>
        <v>-3.84946236491503</v>
      </c>
      <c r="O142" s="12" t="n">
        <f aca="false">ATAN((C142-C141)/(D142-D141))*180/PI()</f>
        <v>-75.4377772640938</v>
      </c>
      <c r="P142" s="6" t="n">
        <f aca="false">IF(M142&lt;0,O142+180,IF(AND(M142&gt;0,L142&lt;0),O142+360,O142))</f>
        <v>104.562222735906</v>
      </c>
      <c r="Q142" s="6" t="n">
        <f aca="false">P142-1.437</f>
        <v>103.125222735906</v>
      </c>
      <c r="S142" s="6" t="n">
        <f aca="false">F142</f>
        <v>139</v>
      </c>
      <c r="T142" s="6" t="str">
        <f aca="false">G142</f>
        <v>DAV140</v>
      </c>
      <c r="U142" s="6" t="n">
        <f aca="false">H142</f>
        <v>7.52895743125928</v>
      </c>
      <c r="V142" s="6" t="n">
        <f aca="false">Q142</f>
        <v>103.125222735906</v>
      </c>
      <c r="W142" s="2" t="n">
        <f aca="false">J142</f>
        <v>-10.7164498805885</v>
      </c>
    </row>
    <row r="143" customFormat="false" ht="12.8" hidden="false" customHeight="false" outlineLevel="0" collapsed="false">
      <c r="A143" s="6" t="s">
        <v>5</v>
      </c>
      <c r="B143" s="1" t="n">
        <v>141</v>
      </c>
      <c r="C143" s="2" t="n">
        <v>352169.52</v>
      </c>
      <c r="D143" s="2" t="n">
        <v>5265822.17</v>
      </c>
      <c r="E143" s="2" t="n">
        <v>2287.4</v>
      </c>
      <c r="F143" s="6" t="n">
        <f aca="false">B142</f>
        <v>140</v>
      </c>
      <c r="G143" s="7" t="str">
        <f aca="false">_xlfn.CONCAT("DAV",B143)</f>
        <v>DAV141</v>
      </c>
      <c r="H143" s="6" t="n">
        <f aca="false">SQRT((C143-C142)^2+(D143-D142)^2+(E143-E142)^2)</f>
        <v>3.42636833970451</v>
      </c>
      <c r="I143" s="6" t="n">
        <f aca="false">MOD((2*180*(ATAN((C142-C143)/(D143-D142))*180/PI())/360), 360)</f>
        <v>54.2461127483747</v>
      </c>
      <c r="J143" s="2" t="n">
        <f aca="false">ASIN((E143-E142)/H143)*180/PI()</f>
        <v>-25.9624050763169</v>
      </c>
      <c r="L143" s="6" t="n">
        <f aca="false">C143-C142</f>
        <v>2.5</v>
      </c>
      <c r="M143" s="6" t="n">
        <f aca="false">D143-D142</f>
        <v>-1.79999999981374</v>
      </c>
      <c r="N143" s="6" t="n">
        <f aca="false">(C143-C142)/(D143-D142)</f>
        <v>-1.38888888903261</v>
      </c>
      <c r="O143" s="12" t="n">
        <f aca="false">ATAN((C143-C142)/(D143-D142))*180/PI()</f>
        <v>-54.2461127483747</v>
      </c>
      <c r="P143" s="6" t="n">
        <f aca="false">IF(M143&lt;0,O143+180,IF(AND(M143&gt;0,L143&lt;0),O143+360,O143))</f>
        <v>125.753887251625</v>
      </c>
      <c r="Q143" s="6" t="n">
        <f aca="false">P143-1.437</f>
        <v>124.316887251625</v>
      </c>
      <c r="S143" s="6" t="n">
        <f aca="false">F143</f>
        <v>140</v>
      </c>
      <c r="T143" s="6" t="str">
        <f aca="false">G143</f>
        <v>DAV141</v>
      </c>
      <c r="U143" s="6" t="n">
        <f aca="false">H143</f>
        <v>3.42636833970451</v>
      </c>
      <c r="V143" s="6" t="n">
        <f aca="false">Q143</f>
        <v>124.316887251625</v>
      </c>
      <c r="W143" s="2" t="n">
        <f aca="false">J143</f>
        <v>-25.9624050763169</v>
      </c>
    </row>
    <row r="144" customFormat="false" ht="12.8" hidden="false" customHeight="false" outlineLevel="0" collapsed="false">
      <c r="A144" s="6" t="s">
        <v>5</v>
      </c>
      <c r="B144" s="1" t="n">
        <v>142</v>
      </c>
      <c r="C144" s="2" t="n">
        <v>352170.71</v>
      </c>
      <c r="D144" s="2" t="n">
        <v>5265820.26</v>
      </c>
      <c r="E144" s="2" t="n">
        <v>2285.7</v>
      </c>
      <c r="F144" s="6" t="n">
        <f aca="false">B143</f>
        <v>141</v>
      </c>
      <c r="G144" s="7" t="str">
        <f aca="false">_xlfn.CONCAT("DAV",B144)</f>
        <v>DAV142</v>
      </c>
      <c r="H144" s="6" t="n">
        <f aca="false">SQRT((C144-C143)^2+(D144-D143)^2+(E144-E143)^2)</f>
        <v>2.82031913098069</v>
      </c>
      <c r="I144" s="6" t="n">
        <f aca="false">MOD((2*180*(ATAN((C143-C144)/(D144-D143))*180/PI())/360), 360)</f>
        <v>31.9244188989542</v>
      </c>
      <c r="J144" s="2" t="n">
        <f aca="false">ASIN((E144-E143)/H144)*180/PI()</f>
        <v>-37.0684471475939</v>
      </c>
      <c r="L144" s="6" t="n">
        <f aca="false">C144-C143</f>
        <v>1.19000000000233</v>
      </c>
      <c r="M144" s="6" t="n">
        <f aca="false">D144-D143</f>
        <v>-1.91000000014901</v>
      </c>
      <c r="N144" s="6" t="n">
        <f aca="false">(C144-C143)/(D144-D143)</f>
        <v>-0.623036649167272</v>
      </c>
      <c r="O144" s="12" t="n">
        <f aca="false">ATAN((C144-C143)/(D144-D143))*180/PI()</f>
        <v>-31.9244188989542</v>
      </c>
      <c r="P144" s="6" t="n">
        <f aca="false">IF(M144&lt;0,O144+180,IF(AND(M144&gt;0,L144&lt;0),O144+360,O144))</f>
        <v>148.075581101046</v>
      </c>
      <c r="Q144" s="6" t="n">
        <f aca="false">P144-1.437</f>
        <v>146.638581101046</v>
      </c>
      <c r="S144" s="6" t="n">
        <f aca="false">F144</f>
        <v>141</v>
      </c>
      <c r="T144" s="6" t="str">
        <f aca="false">G144</f>
        <v>DAV142</v>
      </c>
      <c r="U144" s="6" t="n">
        <f aca="false">H144</f>
        <v>2.82031913098069</v>
      </c>
      <c r="V144" s="6" t="n">
        <f aca="false">Q144</f>
        <v>146.638581101046</v>
      </c>
      <c r="W144" s="2" t="n">
        <f aca="false">J144</f>
        <v>-37.0684471475939</v>
      </c>
    </row>
    <row r="145" customFormat="false" ht="12.8" hidden="false" customHeight="false" outlineLevel="0" collapsed="false">
      <c r="A145" s="6" t="s">
        <v>5</v>
      </c>
      <c r="B145" s="1" t="n">
        <v>143</v>
      </c>
      <c r="C145" s="2" t="n">
        <v>352170.5</v>
      </c>
      <c r="D145" s="2" t="n">
        <v>5265814.22</v>
      </c>
      <c r="E145" s="2" t="n">
        <v>2283.4</v>
      </c>
      <c r="F145" s="6" t="n">
        <f aca="false">B144</f>
        <v>142</v>
      </c>
      <c r="G145" s="7" t="str">
        <f aca="false">_xlfn.CONCAT("DAV",B145)</f>
        <v>DAV143</v>
      </c>
      <c r="H145" s="6" t="n">
        <f aca="false">SQRT((C145-C144)^2+(D145-D144)^2+(E145-E144)^2)</f>
        <v>6.46650601178547</v>
      </c>
      <c r="I145" s="6" t="n">
        <f aca="false">MOD((2*180*(ATAN((C144-C145)/(D145-D144))*180/PI())/360), 360)</f>
        <v>358.008730304961</v>
      </c>
      <c r="J145" s="2" t="n">
        <f aca="false">ASIN((E145-E144)/H145)*180/PI()</f>
        <v>-20.8350607399209</v>
      </c>
      <c r="L145" s="6" t="n">
        <f aca="false">C145-C144</f>
        <v>-0.210000000020955</v>
      </c>
      <c r="M145" s="6" t="n">
        <f aca="false">D145-D144</f>
        <v>-6.04000000003725</v>
      </c>
      <c r="N145" s="6" t="n">
        <f aca="false">(C145-C144)/(D145-D144)</f>
        <v>0.0347682119237847</v>
      </c>
      <c r="O145" s="12" t="n">
        <f aca="false">ATAN((C145-C144)/(D145-D144))*180/PI()</f>
        <v>1.99126969503944</v>
      </c>
      <c r="P145" s="6" t="n">
        <f aca="false">IF(M145&lt;0,O145+180,IF(AND(M145&gt;0,L145&lt;0),O145+360,O145))</f>
        <v>181.991269695039</v>
      </c>
      <c r="Q145" s="6" t="n">
        <f aca="false">P145-1.437</f>
        <v>180.554269695039</v>
      </c>
      <c r="S145" s="6" t="n">
        <f aca="false">F145</f>
        <v>142</v>
      </c>
      <c r="T145" s="6" t="str">
        <f aca="false">G145</f>
        <v>DAV143</v>
      </c>
      <c r="U145" s="6" t="n">
        <f aca="false">H145</f>
        <v>6.46650601178547</v>
      </c>
      <c r="V145" s="6" t="n">
        <f aca="false">Q145</f>
        <v>180.554269695039</v>
      </c>
      <c r="W145" s="2" t="n">
        <f aca="false">J145</f>
        <v>-20.8350607399209</v>
      </c>
    </row>
    <row r="146" customFormat="false" ht="12.8" hidden="false" customHeight="false" outlineLevel="0" collapsed="false">
      <c r="A146" s="6" t="s">
        <v>5</v>
      </c>
      <c r="B146" s="1" t="n">
        <v>144</v>
      </c>
      <c r="C146" s="2" t="n">
        <v>352170.31</v>
      </c>
      <c r="D146" s="2" t="n">
        <v>5265809.48</v>
      </c>
      <c r="E146" s="2" t="n">
        <v>2279.9</v>
      </c>
      <c r="F146" s="6" t="n">
        <f aca="false">B145</f>
        <v>143</v>
      </c>
      <c r="G146" s="7" t="str">
        <f aca="false">_xlfn.CONCAT("DAV",B146)</f>
        <v>DAV144</v>
      </c>
      <c r="H146" s="6" t="n">
        <f aca="false">SQRT((C146-C145)^2+(D146-D145)^2+(E146-E145)^2)</f>
        <v>5.89522688225745</v>
      </c>
      <c r="I146" s="6" t="n">
        <f aca="false">MOD((2*180*(ATAN((C145-C146)/(D146-D145))*180/PI())/360), 360)</f>
        <v>357.704562610173</v>
      </c>
      <c r="J146" s="2" t="n">
        <f aca="false">ASIN((E146-E145)/H146)*180/PI()</f>
        <v>-36.4200593265429</v>
      </c>
      <c r="L146" s="6" t="n">
        <f aca="false">C146-C145</f>
        <v>-0.190000000002328</v>
      </c>
      <c r="M146" s="6" t="n">
        <f aca="false">D146-D145</f>
        <v>-4.7399999992922</v>
      </c>
      <c r="N146" s="6" t="n">
        <f aca="false">(C146-C145)/(D146-D145)</f>
        <v>0.0400843881921309</v>
      </c>
      <c r="O146" s="12" t="n">
        <f aca="false">ATAN((C146-C145)/(D146-D145))*180/PI()</f>
        <v>2.29543738982658</v>
      </c>
      <c r="P146" s="6" t="n">
        <f aca="false">IF(M146&lt;0,O146+180,IF(AND(M146&gt;0,L146&lt;0),O146+360,O146))</f>
        <v>182.295437389827</v>
      </c>
      <c r="Q146" s="6" t="n">
        <f aca="false">P146-1.437</f>
        <v>180.858437389827</v>
      </c>
      <c r="S146" s="6" t="n">
        <f aca="false">F146</f>
        <v>143</v>
      </c>
      <c r="T146" s="6" t="str">
        <f aca="false">G146</f>
        <v>DAV144</v>
      </c>
      <c r="U146" s="6" t="n">
        <f aca="false">H146</f>
        <v>5.89522688225745</v>
      </c>
      <c r="V146" s="6" t="n">
        <f aca="false">Q146</f>
        <v>180.858437389827</v>
      </c>
      <c r="W146" s="2" t="n">
        <f aca="false">J146</f>
        <v>-36.4200593265429</v>
      </c>
    </row>
    <row r="147" customFormat="false" ht="12.8" hidden="false" customHeight="false" outlineLevel="0" collapsed="false">
      <c r="A147" s="6" t="s">
        <v>5</v>
      </c>
      <c r="B147" s="1" t="n">
        <v>145</v>
      </c>
      <c r="C147" s="2" t="n">
        <v>352171.11</v>
      </c>
      <c r="D147" s="2" t="n">
        <v>5265804.88</v>
      </c>
      <c r="E147" s="2" t="n">
        <v>2283.7</v>
      </c>
      <c r="F147" s="6" t="n">
        <f aca="false">B146</f>
        <v>144</v>
      </c>
      <c r="G147" s="7" t="str">
        <f aca="false">_xlfn.CONCAT("DAV",B147)</f>
        <v>DAV145</v>
      </c>
      <c r="H147" s="6" t="n">
        <f aca="false">SQRT((C147-C146)^2+(D147-D146)^2+(E147-E146)^2)</f>
        <v>6.01996677774223</v>
      </c>
      <c r="I147" s="6" t="n">
        <f aca="false">MOD((2*180*(ATAN((C146-C147)/(D147-D146))*180/PI())/360), 360)</f>
        <v>9.86580694176871</v>
      </c>
      <c r="J147" s="2" t="n">
        <f aca="false">ASIN((E147-E146)/H147)*180/PI()</f>
        <v>39.1411290093135</v>
      </c>
      <c r="L147" s="6" t="n">
        <f aca="false">C147-C146</f>
        <v>0.799999999988359</v>
      </c>
      <c r="M147" s="6" t="n">
        <f aca="false">D147-D146</f>
        <v>-4.60000000055879</v>
      </c>
      <c r="N147" s="6" t="n">
        <f aca="false">(C147-C146)/(D147-D146)</f>
        <v>-0.173913043454604</v>
      </c>
      <c r="O147" s="12" t="n">
        <f aca="false">ATAN((C147-C146)/(D147-D146))*180/PI()</f>
        <v>-9.86580694176871</v>
      </c>
      <c r="P147" s="6" t="n">
        <f aca="false">IF(M147&lt;0,O147+180,IF(AND(M147&gt;0,L147&lt;0),O147+360,O147))</f>
        <v>170.134193058231</v>
      </c>
      <c r="Q147" s="6" t="n">
        <f aca="false">P147-1.437</f>
        <v>168.697193058231</v>
      </c>
      <c r="S147" s="6" t="n">
        <f aca="false">F147</f>
        <v>144</v>
      </c>
      <c r="T147" s="6" t="str">
        <f aca="false">G147</f>
        <v>DAV145</v>
      </c>
      <c r="U147" s="6" t="n">
        <f aca="false">H147</f>
        <v>6.01996677774223</v>
      </c>
      <c r="V147" s="6" t="n">
        <f aca="false">Q147</f>
        <v>168.697193058231</v>
      </c>
      <c r="W147" s="2" t="n">
        <f aca="false">J147</f>
        <v>39.1411290093135</v>
      </c>
    </row>
    <row r="148" customFormat="false" ht="12.8" hidden="false" customHeight="false" outlineLevel="0" collapsed="false">
      <c r="A148" s="6" t="s">
        <v>5</v>
      </c>
      <c r="B148" s="1" t="n">
        <v>146</v>
      </c>
      <c r="C148" s="2" t="n">
        <v>352173.46</v>
      </c>
      <c r="D148" s="2" t="n">
        <v>5265798.84</v>
      </c>
      <c r="E148" s="2" t="n">
        <v>2287</v>
      </c>
      <c r="F148" s="6" t="n">
        <f aca="false">B147</f>
        <v>145</v>
      </c>
      <c r="G148" s="7" t="str">
        <f aca="false">_xlfn.CONCAT("DAV",B148)</f>
        <v>DAV146</v>
      </c>
      <c r="H148" s="6" t="n">
        <f aca="false">SQRT((C148-C147)^2+(D148-D147)^2+(E148-E147)^2)</f>
        <v>7.27283301063728</v>
      </c>
      <c r="I148" s="6" t="n">
        <f aca="false">MOD((2*180*(ATAN((C147-C148)/(D148-D147))*180/PI())/360), 360)</f>
        <v>21.259660381317</v>
      </c>
      <c r="J148" s="2" t="n">
        <f aca="false">ASIN((E148-E147)/H148)*180/PI()</f>
        <v>26.9841116786433</v>
      </c>
      <c r="L148" s="6" t="n">
        <f aca="false">C148-C147</f>
        <v>2.35000000003492</v>
      </c>
      <c r="M148" s="6" t="n">
        <f aca="false">D148-D147</f>
        <v>-6.04000000003725</v>
      </c>
      <c r="N148" s="6" t="n">
        <f aca="false">(C148-C147)/(D148-D147)</f>
        <v>-0.389072847685502</v>
      </c>
      <c r="O148" s="12" t="n">
        <f aca="false">ATAN((C148-C147)/(D148-D147))*180/PI()</f>
        <v>-21.259660381317</v>
      </c>
      <c r="P148" s="6" t="n">
        <f aca="false">IF(M148&lt;0,O148+180,IF(AND(M148&gt;0,L148&lt;0),O148+360,O148))</f>
        <v>158.740339618683</v>
      </c>
      <c r="Q148" s="6" t="n">
        <f aca="false">P148-1.437</f>
        <v>157.303339618683</v>
      </c>
      <c r="S148" s="6" t="n">
        <f aca="false">F148</f>
        <v>145</v>
      </c>
      <c r="T148" s="6" t="str">
        <f aca="false">G148</f>
        <v>DAV146</v>
      </c>
      <c r="U148" s="6" t="n">
        <f aca="false">H148</f>
        <v>7.27283301063728</v>
      </c>
      <c r="V148" s="6" t="n">
        <f aca="false">Q148</f>
        <v>157.303339618683</v>
      </c>
      <c r="W148" s="2" t="n">
        <f aca="false">J148</f>
        <v>26.9841116786433</v>
      </c>
    </row>
    <row r="149" customFormat="false" ht="12.8" hidden="false" customHeight="false" outlineLevel="0" collapsed="false">
      <c r="A149" s="6" t="s">
        <v>5</v>
      </c>
      <c r="B149" s="1" t="n">
        <v>147</v>
      </c>
      <c r="C149" s="2" t="n">
        <v>352176.91</v>
      </c>
      <c r="D149" s="2" t="n">
        <v>5265793.41</v>
      </c>
      <c r="E149" s="2" t="n">
        <v>2286.5</v>
      </c>
      <c r="F149" s="6" t="n">
        <f aca="false">B148</f>
        <v>146</v>
      </c>
      <c r="G149" s="7" t="str">
        <f aca="false">_xlfn.CONCAT("DAV",B149)</f>
        <v>DAV147</v>
      </c>
      <c r="H149" s="6" t="n">
        <f aca="false">SQRT((C149-C148)^2+(D149-D148)^2+(E149-E148)^2)</f>
        <v>6.45270485892871</v>
      </c>
      <c r="I149" s="6" t="n">
        <f aca="false">MOD((2*180*(ATAN((C148-C149)/(D149-D148))*180/PI())/360), 360)</f>
        <v>32.4302081933947</v>
      </c>
      <c r="J149" s="2" t="n">
        <f aca="false">ASIN((E149-E148)/H149)*180/PI()</f>
        <v>-4.44412632310082</v>
      </c>
      <c r="L149" s="6" t="n">
        <f aca="false">C149-C148</f>
        <v>3.44999999995343</v>
      </c>
      <c r="M149" s="6" t="n">
        <f aca="false">D149-D148</f>
        <v>-5.42999999970198</v>
      </c>
      <c r="N149" s="6" t="n">
        <f aca="false">(C149-C148)/(D149-D148)</f>
        <v>-0.635359116048395</v>
      </c>
      <c r="O149" s="12" t="n">
        <f aca="false">ATAN((C149-C148)/(D149-D148))*180/PI()</f>
        <v>-32.4302081933947</v>
      </c>
      <c r="P149" s="6" t="n">
        <f aca="false">IF(M149&lt;0,O149+180,IF(AND(M149&gt;0,L149&lt;0),O149+360,O149))</f>
        <v>147.569791806605</v>
      </c>
      <c r="Q149" s="6" t="n">
        <f aca="false">P149-1.437</f>
        <v>146.132791806605</v>
      </c>
      <c r="S149" s="6" t="n">
        <f aca="false">F149</f>
        <v>146</v>
      </c>
      <c r="T149" s="6" t="str">
        <f aca="false">G149</f>
        <v>DAV147</v>
      </c>
      <c r="U149" s="6" t="n">
        <f aca="false">H149</f>
        <v>6.45270485892871</v>
      </c>
      <c r="V149" s="6" t="n">
        <f aca="false">Q149</f>
        <v>146.132791806605</v>
      </c>
      <c r="W149" s="2" t="n">
        <f aca="false">J149</f>
        <v>-4.44412632310082</v>
      </c>
    </row>
    <row r="150" customFormat="false" ht="12.8" hidden="false" customHeight="false" outlineLevel="0" collapsed="false">
      <c r="A150" s="6" t="s">
        <v>5</v>
      </c>
      <c r="B150" s="1" t="n">
        <v>148</v>
      </c>
      <c r="C150" s="2" t="n">
        <v>352178.02</v>
      </c>
      <c r="D150" s="2" t="n">
        <v>5265792.4</v>
      </c>
      <c r="E150" s="2" t="n">
        <v>2286.2</v>
      </c>
      <c r="F150" s="6" t="n">
        <f aca="false">B149</f>
        <v>147</v>
      </c>
      <c r="G150" s="7" t="str">
        <f aca="false">_xlfn.CONCAT("DAV",B150)</f>
        <v>DAV148</v>
      </c>
      <c r="H150" s="6" t="n">
        <f aca="false">SQRT((C150-C149)^2+(D150-D149)^2+(E150-E149)^2)</f>
        <v>1.53042477751989</v>
      </c>
      <c r="I150" s="6" t="n">
        <f aca="false">MOD((2*180*(ATAN((C149-C150)/(D150-D149))*180/PI())/360), 360)</f>
        <v>47.7006293448437</v>
      </c>
      <c r="J150" s="2" t="n">
        <f aca="false">ASIN((E150-E149)/H150)*180/PI()</f>
        <v>-11.3045495381651</v>
      </c>
      <c r="L150" s="6" t="n">
        <f aca="false">C150-C149</f>
        <v>1.11000000004424</v>
      </c>
      <c r="M150" s="6" t="n">
        <f aca="false">D150-D149</f>
        <v>-1.00999999977648</v>
      </c>
      <c r="N150" s="6" t="n">
        <f aca="false">(C150-C149)/(D150-D149)</f>
        <v>-1.09900990127711</v>
      </c>
      <c r="O150" s="12" t="n">
        <f aca="false">ATAN((C150-C149)/(D150-D149))*180/PI()</f>
        <v>-47.7006293448437</v>
      </c>
      <c r="P150" s="6" t="n">
        <f aca="false">IF(M150&lt;0,O150+180,IF(AND(M150&gt;0,L150&lt;0),O150+360,O150))</f>
        <v>132.299370655156</v>
      </c>
      <c r="Q150" s="6" t="n">
        <f aca="false">P150-1.437</f>
        <v>130.862370655156</v>
      </c>
      <c r="S150" s="6" t="n">
        <f aca="false">F150</f>
        <v>147</v>
      </c>
      <c r="T150" s="6" t="str">
        <f aca="false">G150</f>
        <v>DAV148</v>
      </c>
      <c r="U150" s="6" t="n">
        <f aca="false">H150</f>
        <v>1.53042477751989</v>
      </c>
      <c r="V150" s="6" t="n">
        <f aca="false">Q150</f>
        <v>130.862370655156</v>
      </c>
      <c r="W150" s="2" t="n">
        <f aca="false">J150</f>
        <v>-11.3045495381651</v>
      </c>
    </row>
    <row r="151" customFormat="false" ht="12.8" hidden="false" customHeight="false" outlineLevel="0" collapsed="false">
      <c r="A151" s="6" t="s">
        <v>5</v>
      </c>
      <c r="B151" s="1" t="n">
        <v>149</v>
      </c>
      <c r="C151" s="2" t="n">
        <v>352183.81</v>
      </c>
      <c r="D151" s="2" t="n">
        <v>5265791.28</v>
      </c>
      <c r="E151" s="2" t="n">
        <v>2284.7</v>
      </c>
      <c r="F151" s="6" t="n">
        <f aca="false">B150</f>
        <v>148</v>
      </c>
      <c r="G151" s="7" t="str">
        <f aca="false">_xlfn.CONCAT("DAV",B151)</f>
        <v>DAV149</v>
      </c>
      <c r="H151" s="6" t="n">
        <f aca="false">SQRT((C151-C150)^2+(D151-D150)^2+(E151-E150)^2)</f>
        <v>6.08510476491635</v>
      </c>
      <c r="I151" s="6" t="n">
        <f aca="false">MOD((2*180*(ATAN((C150-C151)/(D151-D150))*180/PI())/360), 360)</f>
        <v>79.0520912440414</v>
      </c>
      <c r="J151" s="2" t="n">
        <f aca="false">ASIN((E151-E150)/H151)*180/PI()</f>
        <v>-14.2707069934508</v>
      </c>
      <c r="L151" s="6" t="n">
        <f aca="false">C151-C150</f>
        <v>5.78999999997905</v>
      </c>
      <c r="M151" s="6" t="n">
        <f aca="false">D151-D150</f>
        <v>-1.12000000011176</v>
      </c>
      <c r="N151" s="6" t="n">
        <f aca="false">(C151-C150)/(D151-D150)</f>
        <v>-5.1696428566083</v>
      </c>
      <c r="O151" s="12" t="n">
        <f aca="false">ATAN((C151-C150)/(D151-D150))*180/PI()</f>
        <v>-79.0520912440414</v>
      </c>
      <c r="P151" s="6" t="n">
        <f aca="false">IF(M151&lt;0,O151+180,IF(AND(M151&gt;0,L151&lt;0),O151+360,O151))</f>
        <v>100.947908755959</v>
      </c>
      <c r="Q151" s="6" t="n">
        <f aca="false">P151-1.437</f>
        <v>99.5109087559586</v>
      </c>
      <c r="S151" s="6" t="n">
        <f aca="false">F151</f>
        <v>148</v>
      </c>
      <c r="T151" s="6" t="str">
        <f aca="false">G151</f>
        <v>DAV149</v>
      </c>
      <c r="U151" s="6" t="n">
        <f aca="false">H151</f>
        <v>6.08510476491635</v>
      </c>
      <c r="V151" s="6" t="n">
        <f aca="false">Q151</f>
        <v>99.5109087559586</v>
      </c>
      <c r="W151" s="2" t="n">
        <f aca="false">J151</f>
        <v>-14.2707069934508</v>
      </c>
    </row>
    <row r="152" customFormat="false" ht="12.8" hidden="false" customHeight="false" outlineLevel="0" collapsed="false">
      <c r="A152" s="6" t="s">
        <v>5</v>
      </c>
      <c r="B152" s="1" t="n">
        <v>150</v>
      </c>
      <c r="C152" s="2" t="n">
        <v>352185.91</v>
      </c>
      <c r="D152" s="2" t="n">
        <v>5265790.31</v>
      </c>
      <c r="E152" s="2" t="n">
        <v>2283.7</v>
      </c>
      <c r="F152" s="6" t="n">
        <f aca="false">B151</f>
        <v>149</v>
      </c>
      <c r="G152" s="7" t="str">
        <f aca="false">_xlfn.CONCAT("DAV",B152)</f>
        <v>DAV150</v>
      </c>
      <c r="H152" s="6" t="n">
        <f aca="false">SQRT((C152-C151)^2+(D152-D151)^2+(E152-E151)^2)</f>
        <v>2.52009920463522</v>
      </c>
      <c r="I152" s="6" t="n">
        <f aca="false">MOD((2*180*(ATAN((C151-C152)/(D152-D151))*180/PI())/360), 360)</f>
        <v>65.2075599660377</v>
      </c>
      <c r="J152" s="2" t="n">
        <f aca="false">ASIN((E152-E151)/H152)*180/PI()</f>
        <v>-23.3788930312528</v>
      </c>
      <c r="L152" s="6" t="n">
        <f aca="false">C152-C151</f>
        <v>2.09999999997672</v>
      </c>
      <c r="M152" s="6" t="n">
        <f aca="false">D152-D151</f>
        <v>-0.970000000670552</v>
      </c>
      <c r="N152" s="6" t="n">
        <f aca="false">(C152-C151)/(D152-D151)</f>
        <v>-2.16494845208763</v>
      </c>
      <c r="O152" s="12" t="n">
        <f aca="false">ATAN((C152-C151)/(D152-D151))*180/PI()</f>
        <v>-65.2075599660377</v>
      </c>
      <c r="P152" s="6" t="n">
        <f aca="false">IF(M152&lt;0,O152+180,IF(AND(M152&gt;0,L152&lt;0),O152+360,O152))</f>
        <v>114.792440033962</v>
      </c>
      <c r="Q152" s="6" t="n">
        <f aca="false">P152-1.437</f>
        <v>113.355440033962</v>
      </c>
      <c r="S152" s="6" t="n">
        <f aca="false">F152</f>
        <v>149</v>
      </c>
      <c r="T152" s="6" t="str">
        <f aca="false">G152</f>
        <v>DAV150</v>
      </c>
      <c r="U152" s="6" t="n">
        <f aca="false">H152</f>
        <v>2.52009920463522</v>
      </c>
      <c r="V152" s="6" t="n">
        <f aca="false">Q152</f>
        <v>113.355440033962</v>
      </c>
      <c r="W152" s="2" t="n">
        <f aca="false">J152</f>
        <v>-23.3788930312528</v>
      </c>
    </row>
    <row r="153" customFormat="false" ht="12.8" hidden="false" customHeight="false" outlineLevel="0" collapsed="false">
      <c r="A153" s="6" t="s">
        <v>5</v>
      </c>
      <c r="B153" s="1" t="n">
        <v>151</v>
      </c>
      <c r="C153" s="2" t="n">
        <v>352187.87</v>
      </c>
      <c r="D153" s="2" t="n">
        <v>5265789.08</v>
      </c>
      <c r="E153" s="2" t="n">
        <v>2282.8</v>
      </c>
      <c r="F153" s="6" t="n">
        <f aca="false">B152</f>
        <v>150</v>
      </c>
      <c r="G153" s="7" t="str">
        <f aca="false">_xlfn.CONCAT("DAV",B153)</f>
        <v>DAV151</v>
      </c>
      <c r="H153" s="6" t="n">
        <f aca="false">SQRT((C153-C152)^2+(D153-D152)^2+(E153-E152)^2)</f>
        <v>2.48284111430638</v>
      </c>
      <c r="I153" s="6" t="n">
        <f aca="false">MOD((2*180*(ATAN((C152-C153)/(D153-D152))*180/PI())/360), 360)</f>
        <v>57.8896315244927</v>
      </c>
      <c r="J153" s="2" t="n">
        <f aca="false">ASIN((E153-E152)/H153)*180/PI()</f>
        <v>-21.2530687406693</v>
      </c>
      <c r="L153" s="6" t="n">
        <f aca="false">C153-C152</f>
        <v>1.96000000002095</v>
      </c>
      <c r="M153" s="6" t="n">
        <f aca="false">D153-D152</f>
        <v>-1.22999999951571</v>
      </c>
      <c r="N153" s="6" t="n">
        <f aca="false">(C153-C152)/(D153-D152)</f>
        <v>-1.59349593560379</v>
      </c>
      <c r="O153" s="12" t="n">
        <f aca="false">ATAN((C153-C152)/(D153-D152))*180/PI()</f>
        <v>-57.8896315244927</v>
      </c>
      <c r="P153" s="6" t="n">
        <f aca="false">IF(M153&lt;0,O153+180,IF(AND(M153&gt;0,L153&lt;0),O153+360,O153))</f>
        <v>122.110368475507</v>
      </c>
      <c r="Q153" s="6" t="n">
        <f aca="false">P153-1.437</f>
        <v>120.673368475507</v>
      </c>
      <c r="S153" s="6" t="n">
        <f aca="false">F153</f>
        <v>150</v>
      </c>
      <c r="T153" s="6" t="str">
        <f aca="false">G153</f>
        <v>DAV151</v>
      </c>
      <c r="U153" s="6" t="n">
        <f aca="false">H153</f>
        <v>2.48284111430638</v>
      </c>
      <c r="V153" s="6" t="n">
        <f aca="false">Q153</f>
        <v>120.673368475507</v>
      </c>
      <c r="W153" s="2" t="n">
        <f aca="false">J153</f>
        <v>-21.2530687406693</v>
      </c>
    </row>
    <row r="154" customFormat="false" ht="12.8" hidden="false" customHeight="false" outlineLevel="0" collapsed="false">
      <c r="A154" s="6" t="s">
        <v>5</v>
      </c>
      <c r="B154" s="1" t="n">
        <v>152</v>
      </c>
      <c r="C154" s="2" t="n">
        <v>352199.54</v>
      </c>
      <c r="D154" s="2" t="n">
        <v>5265778.24</v>
      </c>
      <c r="E154" s="2" t="n">
        <v>2277.5</v>
      </c>
      <c r="F154" s="6" t="n">
        <f aca="false">B153</f>
        <v>151</v>
      </c>
      <c r="G154" s="7" t="str">
        <f aca="false">_xlfn.CONCAT("DAV",B154)</f>
        <v>DAV152</v>
      </c>
      <c r="H154" s="6" t="n">
        <f aca="false">SQRT((C154-C153)^2+(D154-D153)^2+(E154-E153)^2)</f>
        <v>16.786437978213</v>
      </c>
      <c r="I154" s="6" t="n">
        <f aca="false">MOD((2*180*(ATAN((C153-C154)/(D154-D153))*180/PI())/360), 360)</f>
        <v>47.1116820396371</v>
      </c>
      <c r="J154" s="2" t="n">
        <f aca="false">ASIN((E154-E153)/H154)*180/PI()</f>
        <v>-18.4049533681267</v>
      </c>
      <c r="L154" s="6" t="n">
        <f aca="false">C154-C153</f>
        <v>11.6699999999837</v>
      </c>
      <c r="M154" s="6" t="n">
        <f aca="false">D154-D153</f>
        <v>-10.839999999851</v>
      </c>
      <c r="N154" s="6" t="n">
        <f aca="false">(C154-C153)/(D154-D153)</f>
        <v>-1.07656826569595</v>
      </c>
      <c r="O154" s="12" t="n">
        <f aca="false">ATAN((C154-C153)/(D154-D153))*180/PI()</f>
        <v>-47.1116820396371</v>
      </c>
      <c r="P154" s="6" t="n">
        <f aca="false">IF(M154&lt;0,O154+180,IF(AND(M154&gt;0,L154&lt;0),O154+360,O154))</f>
        <v>132.888317960363</v>
      </c>
      <c r="Q154" s="6" t="n">
        <f aca="false">P154-1.437</f>
        <v>131.451317960363</v>
      </c>
      <c r="S154" s="6" t="n">
        <f aca="false">F154</f>
        <v>151</v>
      </c>
      <c r="T154" s="6" t="str">
        <f aca="false">G154</f>
        <v>DAV152</v>
      </c>
      <c r="U154" s="6" t="n">
        <f aca="false">H154</f>
        <v>16.786437978213</v>
      </c>
      <c r="V154" s="6" t="n">
        <f aca="false">Q154</f>
        <v>131.451317960363</v>
      </c>
      <c r="W154" s="2" t="n">
        <f aca="false">J154</f>
        <v>-18.4049533681267</v>
      </c>
    </row>
    <row r="155" customFormat="false" ht="12.8" hidden="false" customHeight="false" outlineLevel="0" collapsed="false">
      <c r="A155" s="6" t="s">
        <v>5</v>
      </c>
      <c r="B155" s="1" t="n">
        <v>153</v>
      </c>
      <c r="C155" s="2" t="n">
        <v>352245.04</v>
      </c>
      <c r="D155" s="2" t="n">
        <v>5265713.03</v>
      </c>
      <c r="E155" s="2" t="n">
        <v>2253.9</v>
      </c>
      <c r="F155" s="6" t="n">
        <f aca="false">B154</f>
        <v>152</v>
      </c>
      <c r="G155" s="7" t="str">
        <f aca="false">_xlfn.CONCAT("DAV",B155)</f>
        <v>DAV153</v>
      </c>
      <c r="H155" s="6" t="n">
        <f aca="false">SQRT((C155-C154)^2+(D155-D154)^2+(E155-E154)^2)</f>
        <v>82.9430774687987</v>
      </c>
      <c r="I155" s="6" t="n">
        <f aca="false">MOD((2*180*(ATAN((C154-C155)/(D155-D154))*180/PI())/360), 360)</f>
        <v>34.9052442543269</v>
      </c>
      <c r="J155" s="2" t="n">
        <f aca="false">ASIN((E155-E154)/H155)*180/PI()</f>
        <v>-16.5309050403212</v>
      </c>
      <c r="L155" s="6" t="n">
        <f aca="false">C155-C154</f>
        <v>45.5</v>
      </c>
      <c r="M155" s="6" t="n">
        <f aca="false">D155-D154</f>
        <v>-65.2099999999628</v>
      </c>
      <c r="N155" s="6" t="n">
        <f aca="false">(C155-C154)/(D155-D154)</f>
        <v>-0.697745744518111</v>
      </c>
      <c r="O155" s="12" t="n">
        <f aca="false">ATAN((C155-C154)/(D155-D154))*180/PI()</f>
        <v>-34.9052442543269</v>
      </c>
      <c r="P155" s="6" t="n">
        <f aca="false">IF(M155&lt;0,O155+180,IF(AND(M155&gt;0,L155&lt;0),O155+360,O155))</f>
        <v>145.094755745673</v>
      </c>
      <c r="Q155" s="6" t="n">
        <f aca="false">P155-1.437</f>
        <v>143.657755745673</v>
      </c>
      <c r="S155" s="6" t="n">
        <f aca="false">F155</f>
        <v>152</v>
      </c>
      <c r="T155" s="6" t="str">
        <f aca="false">G155</f>
        <v>DAV153</v>
      </c>
      <c r="U155" s="6" t="n">
        <f aca="false">H155</f>
        <v>82.9430774687987</v>
      </c>
      <c r="V155" s="6" t="n">
        <f aca="false">Q155</f>
        <v>143.657755745673</v>
      </c>
      <c r="W155" s="2" t="n">
        <f aca="false">J155</f>
        <v>-16.5309050403212</v>
      </c>
    </row>
    <row r="156" customFormat="false" ht="12.8" hidden="false" customHeight="false" outlineLevel="0" collapsed="false">
      <c r="A156" s="6" t="s">
        <v>5</v>
      </c>
      <c r="B156" s="1" t="n">
        <v>154</v>
      </c>
      <c r="C156" s="2" t="n">
        <v>352268.88</v>
      </c>
      <c r="D156" s="2" t="n">
        <v>5265664.83</v>
      </c>
      <c r="E156" s="2" t="n">
        <v>2235</v>
      </c>
      <c r="F156" s="6" t="n">
        <f aca="false">B155</f>
        <v>153</v>
      </c>
      <c r="G156" s="7" t="str">
        <f aca="false">_xlfn.CONCAT("DAV",B156)</f>
        <v>DAV154</v>
      </c>
      <c r="H156" s="6" t="n">
        <f aca="false">SQRT((C156-C155)^2+(D156-D155)^2+(E156-E155)^2)</f>
        <v>56.9982069895114</v>
      </c>
      <c r="I156" s="6" t="n">
        <f aca="false">MOD((2*180*(ATAN((C155-C156)/(D156-D155))*180/PI())/360), 360)</f>
        <v>26.3172665828241</v>
      </c>
      <c r="J156" s="2" t="n">
        <f aca="false">ASIN((E156-E155)/H156)*180/PI()</f>
        <v>-19.3652726816608</v>
      </c>
      <c r="L156" s="6" t="n">
        <f aca="false">C156-C155</f>
        <v>23.8400000000256</v>
      </c>
      <c r="M156" s="6" t="n">
        <f aca="false">D156-D155</f>
        <v>-48.2000000001863</v>
      </c>
      <c r="N156" s="6" t="n">
        <f aca="false">(C156-C155)/(D156-D155)</f>
        <v>-0.494605809127251</v>
      </c>
      <c r="O156" s="12" t="n">
        <f aca="false">ATAN((C156-C155)/(D156-D155))*180/PI()</f>
        <v>-26.3172665828241</v>
      </c>
      <c r="P156" s="6" t="n">
        <f aca="false">IF(M156&lt;0,O156+180,IF(AND(M156&gt;0,L156&lt;0),O156+360,O156))</f>
        <v>153.682733417176</v>
      </c>
      <c r="Q156" s="6" t="n">
        <f aca="false">P156-1.437</f>
        <v>152.245733417176</v>
      </c>
      <c r="S156" s="6" t="n">
        <f aca="false">F156</f>
        <v>153</v>
      </c>
      <c r="T156" s="6" t="str">
        <f aca="false">G156</f>
        <v>DAV154</v>
      </c>
      <c r="U156" s="6" t="n">
        <f aca="false">H156</f>
        <v>56.9982069895114</v>
      </c>
      <c r="V156" s="6" t="n">
        <f aca="false">Q156</f>
        <v>152.245733417176</v>
      </c>
      <c r="W156" s="2" t="n">
        <f aca="false">J156</f>
        <v>-19.3652726816608</v>
      </c>
    </row>
    <row r="157" customFormat="false" ht="12.8" hidden="false" customHeight="false" outlineLevel="0" collapsed="false">
      <c r="A157" s="6" t="s">
        <v>5</v>
      </c>
      <c r="B157" s="1" t="n">
        <v>155</v>
      </c>
      <c r="C157" s="2" t="n">
        <v>352492.69</v>
      </c>
      <c r="D157" s="2" t="n">
        <v>5265566.26</v>
      </c>
      <c r="E157" s="2" t="n">
        <v>2190</v>
      </c>
      <c r="F157" s="6" t="n">
        <f aca="false">B156</f>
        <v>154</v>
      </c>
      <c r="G157" s="7" t="str">
        <f aca="false">_xlfn.CONCAT("DAV",B157)</f>
        <v>DAV155</v>
      </c>
      <c r="H157" s="6" t="n">
        <f aca="false">SQRT((C157-C156)^2+(D157-D156)^2+(E157-E156)^2)</f>
        <v>248.660332582537</v>
      </c>
      <c r="I157" s="6" t="n">
        <f aca="false">MOD((2*180*(ATAN((C156-C157)/(D157-D156))*180/PI())/360), 360)</f>
        <v>66.2304333883277</v>
      </c>
      <c r="J157" s="2" t="n">
        <f aca="false">ASIN((E157-E156)/H157)*180/PI()</f>
        <v>-10.4262505035748</v>
      </c>
      <c r="L157" s="6" t="n">
        <f aca="false">C157-C156</f>
        <v>223.809999999998</v>
      </c>
      <c r="M157" s="6" t="n">
        <f aca="false">D157-D156</f>
        <v>-98.570000000298</v>
      </c>
      <c r="N157" s="6" t="n">
        <f aca="false">(C157-C156)/(D157-D156)</f>
        <v>-2.27056913867628</v>
      </c>
      <c r="O157" s="12" t="n">
        <f aca="false">ATAN((C157-C156)/(D157-D156))*180/PI()</f>
        <v>-66.2304333883277</v>
      </c>
      <c r="P157" s="6" t="n">
        <f aca="false">IF(M157&lt;0,O157+180,IF(AND(M157&gt;0,L157&lt;0),O157+360,O157))</f>
        <v>113.769566611672</v>
      </c>
      <c r="Q157" s="6" t="n">
        <f aca="false">P157-1.437</f>
        <v>112.332566611672</v>
      </c>
      <c r="S157" s="6" t="n">
        <f aca="false">F157</f>
        <v>154</v>
      </c>
      <c r="T157" s="6" t="str">
        <f aca="false">G157</f>
        <v>DAV155</v>
      </c>
      <c r="U157" s="6" t="n">
        <f aca="false">H157</f>
        <v>248.660332582537</v>
      </c>
      <c r="V157" s="6" t="n">
        <f aca="false">Q157</f>
        <v>112.332566611672</v>
      </c>
      <c r="W157" s="2" t="n">
        <f aca="false">J157</f>
        <v>-10.4262505035748</v>
      </c>
    </row>
    <row r="158" customFormat="false" ht="12.8" hidden="false" customHeight="false" outlineLevel="0" collapsed="false">
      <c r="A158" s="6" t="s">
        <v>5</v>
      </c>
      <c r="B158" s="1" t="n">
        <v>156</v>
      </c>
      <c r="C158" s="2" t="n">
        <v>352628.56</v>
      </c>
      <c r="D158" s="2" t="n">
        <v>5265522.66</v>
      </c>
      <c r="E158" s="2" t="n">
        <v>2157.1</v>
      </c>
      <c r="F158" s="6" t="n">
        <f aca="false">B157</f>
        <v>155</v>
      </c>
      <c r="G158" s="7" t="str">
        <f aca="false">_xlfn.CONCAT("DAV",B158)</f>
        <v>DAV156</v>
      </c>
      <c r="H158" s="6" t="n">
        <f aca="false">SQRT((C158-C157)^2+(D158-D157)^2+(E158-E157)^2)</f>
        <v>146.437791911672</v>
      </c>
      <c r="I158" s="6" t="n">
        <f aca="false">MOD((2*180*(ATAN((C157-C158)/(D158-D157))*180/PI())/360), 360)</f>
        <v>72.2088254231891</v>
      </c>
      <c r="J158" s="2" t="n">
        <f aca="false">ASIN((E158-E157)/H158)*180/PI()</f>
        <v>-12.983401984561</v>
      </c>
      <c r="L158" s="6" t="n">
        <f aca="false">C158-C157</f>
        <v>135.869999999995</v>
      </c>
      <c r="M158" s="6" t="n">
        <f aca="false">D158-D157</f>
        <v>-43.5999999996275</v>
      </c>
      <c r="N158" s="6" t="n">
        <f aca="false">(C158-C157)/(D158-D157)</f>
        <v>-3.11628440369624</v>
      </c>
      <c r="O158" s="12" t="n">
        <f aca="false">ATAN((C158-C157)/(D158-D157))*180/PI()</f>
        <v>-72.2088254231891</v>
      </c>
      <c r="P158" s="6" t="n">
        <f aca="false">IF(M158&lt;0,O158+180,IF(AND(M158&gt;0,L158&lt;0),O158+360,O158))</f>
        <v>107.791174576811</v>
      </c>
      <c r="Q158" s="6" t="n">
        <f aca="false">P158-1.437</f>
        <v>106.354174576811</v>
      </c>
      <c r="S158" s="6" t="n">
        <f aca="false">F158</f>
        <v>155</v>
      </c>
      <c r="T158" s="6" t="str">
        <f aca="false">G158</f>
        <v>DAV156</v>
      </c>
      <c r="U158" s="6" t="n">
        <f aca="false">H158</f>
        <v>146.437791911672</v>
      </c>
      <c r="V158" s="6" t="n">
        <f aca="false">Q158</f>
        <v>106.354174576811</v>
      </c>
      <c r="W158" s="2" t="n">
        <f aca="false">J158</f>
        <v>-12.983401984561</v>
      </c>
    </row>
    <row r="159" customFormat="false" ht="12.8" hidden="false" customHeight="false" outlineLevel="0" collapsed="false">
      <c r="A159" s="6" t="s">
        <v>5</v>
      </c>
      <c r="B159" s="1" t="n">
        <v>157</v>
      </c>
      <c r="C159" s="2" t="n">
        <v>352700.27</v>
      </c>
      <c r="D159" s="2" t="n">
        <v>5265433.01</v>
      </c>
      <c r="E159" s="2" t="n">
        <v>2129.1</v>
      </c>
      <c r="F159" s="6" t="n">
        <f aca="false">B158</f>
        <v>156</v>
      </c>
      <c r="G159" s="7" t="str">
        <f aca="false">_xlfn.CONCAT("DAV",B159)</f>
        <v>DAV157</v>
      </c>
      <c r="H159" s="6" t="n">
        <f aca="false">SQRT((C159-C158)^2+(D159-D158)^2+(E159-E158)^2)</f>
        <v>118.167028396545</v>
      </c>
      <c r="I159" s="6" t="n">
        <f aca="false">MOD((2*180*(ATAN((C158-C159)/(D159-D158))*180/PI())/360), 360)</f>
        <v>38.65591105912</v>
      </c>
      <c r="J159" s="2" t="n">
        <f aca="false">ASIN((E159-E158)/H159)*180/PI()</f>
        <v>-13.7067575405504</v>
      </c>
      <c r="L159" s="6" t="n">
        <f aca="false">C159-C158</f>
        <v>71.710000000021</v>
      </c>
      <c r="M159" s="6" t="n">
        <f aca="false">D159-D158</f>
        <v>-89.6500000003725</v>
      </c>
      <c r="N159" s="6" t="n">
        <f aca="false">(C159-C158)/(D159-D158)</f>
        <v>-0.799888455100089</v>
      </c>
      <c r="O159" s="12" t="n">
        <f aca="false">ATAN((C159-C158)/(D159-D158))*180/PI()</f>
        <v>-38.65591105912</v>
      </c>
      <c r="P159" s="6" t="n">
        <f aca="false">IF(M159&lt;0,O159+180,IF(AND(M159&gt;0,L159&lt;0),O159+360,O159))</f>
        <v>141.34408894088</v>
      </c>
      <c r="Q159" s="6" t="n">
        <f aca="false">P159-1.437</f>
        <v>139.90708894088</v>
      </c>
      <c r="S159" s="6" t="n">
        <f aca="false">F159</f>
        <v>156</v>
      </c>
      <c r="T159" s="6" t="str">
        <f aca="false">G159</f>
        <v>DAV157</v>
      </c>
      <c r="U159" s="6" t="n">
        <f aca="false">H159</f>
        <v>118.167028396545</v>
      </c>
      <c r="V159" s="6" t="n">
        <f aca="false">Q159</f>
        <v>139.90708894088</v>
      </c>
      <c r="W159" s="2" t="n">
        <f aca="false">J159</f>
        <v>-13.7067575405504</v>
      </c>
    </row>
    <row r="160" customFormat="false" ht="12.8" hidden="false" customHeight="false" outlineLevel="0" collapsed="false">
      <c r="A160" s="6" t="s">
        <v>5</v>
      </c>
      <c r="B160" s="1" t="n">
        <v>158</v>
      </c>
      <c r="C160" s="2" t="n">
        <v>352860.42</v>
      </c>
      <c r="D160" s="2" t="n">
        <v>5265283.27</v>
      </c>
      <c r="E160" s="2" t="n">
        <v>2091.5</v>
      </c>
      <c r="F160" s="6" t="n">
        <f aca="false">B159</f>
        <v>157</v>
      </c>
      <c r="G160" s="7" t="str">
        <f aca="false">_xlfn.CONCAT("DAV",B160)</f>
        <v>DAV158</v>
      </c>
      <c r="H160" s="6" t="n">
        <f aca="false">SQRT((C160-C159)^2+(D160-D159)^2+(E160-E159)^2)</f>
        <v>222.449657450974</v>
      </c>
      <c r="I160" s="6" t="n">
        <f aca="false">MOD((2*180*(ATAN((C159-C160)/(D160-D159))*180/PI())/360), 360)</f>
        <v>46.9239887060269</v>
      </c>
      <c r="J160" s="2" t="n">
        <f aca="false">ASIN((E160-E159)/H160)*180/PI()</f>
        <v>-9.73125206639364</v>
      </c>
      <c r="L160" s="6" t="n">
        <f aca="false">C160-C159</f>
        <v>160.149999999965</v>
      </c>
      <c r="M160" s="6" t="n">
        <f aca="false">D160-D159</f>
        <v>-149.740000000224</v>
      </c>
      <c r="N160" s="6" t="n">
        <f aca="false">(C160-C159)/(D160-D159)</f>
        <v>-1.06952050220199</v>
      </c>
      <c r="O160" s="12" t="n">
        <f aca="false">ATAN((C160-C159)/(D160-D159))*180/PI()</f>
        <v>-46.9239887060269</v>
      </c>
      <c r="P160" s="6" t="n">
        <f aca="false">IF(M160&lt;0,O160+180,IF(AND(M160&gt;0,L160&lt;0),O160+360,O160))</f>
        <v>133.076011293973</v>
      </c>
      <c r="Q160" s="6" t="n">
        <f aca="false">P160-1.437</f>
        <v>131.639011293973</v>
      </c>
      <c r="S160" s="6" t="n">
        <f aca="false">F160</f>
        <v>157</v>
      </c>
      <c r="T160" s="6" t="str">
        <f aca="false">G160</f>
        <v>DAV158</v>
      </c>
      <c r="U160" s="6" t="n">
        <f aca="false">H160</f>
        <v>222.449657450974</v>
      </c>
      <c r="V160" s="6" t="n">
        <f aca="false">Q160</f>
        <v>131.639011293973</v>
      </c>
      <c r="W160" s="2" t="n">
        <f aca="false">J160</f>
        <v>-9.73125206639364</v>
      </c>
    </row>
    <row r="161" customFormat="false" ht="12.8" hidden="false" customHeight="false" outlineLevel="0" collapsed="false">
      <c r="A161" s="6" t="s">
        <v>5</v>
      </c>
      <c r="B161" s="1" t="n">
        <v>159</v>
      </c>
      <c r="C161" s="2" t="n">
        <v>352924.66</v>
      </c>
      <c r="D161" s="2" t="n">
        <v>5265233.36</v>
      </c>
      <c r="E161" s="2" t="n">
        <v>2102.7</v>
      </c>
      <c r="F161" s="6" t="n">
        <f aca="false">B160</f>
        <v>158</v>
      </c>
      <c r="G161" s="7" t="str">
        <f aca="false">_xlfn.CONCAT("DAV",B161)</f>
        <v>DAV159</v>
      </c>
      <c r="H161" s="6" t="n">
        <f aca="false">SQRT((C161-C160)^2+(D161-D160)^2+(E161-E160)^2)</f>
        <v>82.1171461993213</v>
      </c>
      <c r="I161" s="6" t="n">
        <f aca="false">MOD((2*180*(ATAN((C160-C161)/(D161-D160))*180/PI())/360), 360)</f>
        <v>52.1552848359044</v>
      </c>
      <c r="J161" s="2" t="n">
        <f aca="false">ASIN((E161-E160)/H161)*180/PI()</f>
        <v>7.83903441801138</v>
      </c>
      <c r="L161" s="6" t="n">
        <f aca="false">C161-C160</f>
        <v>64.2399999999907</v>
      </c>
      <c r="M161" s="6" t="n">
        <f aca="false">D161-D160</f>
        <v>-49.9099999992177</v>
      </c>
      <c r="N161" s="6" t="n">
        <f aca="false">(C161-C160)/(D161-D160)</f>
        <v>-1.28711681027845</v>
      </c>
      <c r="O161" s="12" t="n">
        <f aca="false">ATAN((C161-C160)/(D161-D160))*180/PI()</f>
        <v>-52.1552848359044</v>
      </c>
      <c r="P161" s="6" t="n">
        <f aca="false">IF(M161&lt;0,O161+180,IF(AND(M161&gt;0,L161&lt;0),O161+360,O161))</f>
        <v>127.844715164096</v>
      </c>
      <c r="Q161" s="6" t="n">
        <f aca="false">P161-1.437</f>
        <v>126.407715164096</v>
      </c>
      <c r="S161" s="6" t="n">
        <f aca="false">F161</f>
        <v>158</v>
      </c>
      <c r="T161" s="6" t="str">
        <f aca="false">G161</f>
        <v>DAV159</v>
      </c>
      <c r="U161" s="6" t="n">
        <f aca="false">H161</f>
        <v>82.1171461993213</v>
      </c>
      <c r="V161" s="6" t="n">
        <f aca="false">Q161</f>
        <v>126.407715164096</v>
      </c>
      <c r="W161" s="2" t="n">
        <f aca="false">J161</f>
        <v>7.83903441801138</v>
      </c>
    </row>
    <row r="162" customFormat="false" ht="12.8" hidden="false" customHeight="false" outlineLevel="0" collapsed="false">
      <c r="A162" s="6" t="s">
        <v>5</v>
      </c>
      <c r="B162" s="1" t="n">
        <v>160</v>
      </c>
      <c r="C162" s="2" t="n">
        <v>352944.12</v>
      </c>
      <c r="D162" s="2" t="n">
        <v>5265080.86</v>
      </c>
      <c r="E162" s="2" t="n">
        <v>2131.7</v>
      </c>
      <c r="F162" s="6" t="n">
        <f aca="false">B161</f>
        <v>159</v>
      </c>
      <c r="G162" s="7" t="str">
        <f aca="false">_xlfn.CONCAT("DAV",B162)</f>
        <v>DAV160</v>
      </c>
      <c r="H162" s="6" t="n">
        <f aca="false">SQRT((C162-C161)^2+(D162-D161)^2+(E162-E161)^2)</f>
        <v>156.44788780933</v>
      </c>
      <c r="I162" s="6" t="n">
        <f aca="false">MOD((2*180*(ATAN((C161-C162)/(D162-D161))*180/PI())/360), 360)</f>
        <v>7.27201599317097</v>
      </c>
      <c r="J162" s="2" t="n">
        <f aca="false">ASIN((E162-E161)/H162)*180/PI()</f>
        <v>10.6824273233664</v>
      </c>
      <c r="L162" s="6" t="n">
        <f aca="false">C162-C161</f>
        <v>19.460000000021</v>
      </c>
      <c r="M162" s="6" t="n">
        <f aca="false">D162-D161</f>
        <v>-152.5</v>
      </c>
      <c r="N162" s="6" t="n">
        <f aca="false">(C162-C161)/(D162-D161)</f>
        <v>-0.127606557377187</v>
      </c>
      <c r="O162" s="12" t="n">
        <f aca="false">ATAN((C162-C161)/(D162-D161))*180/PI()</f>
        <v>-7.27201599317097</v>
      </c>
      <c r="P162" s="6" t="n">
        <f aca="false">IF(M162&lt;0,O162+180,IF(AND(M162&gt;0,L162&lt;0),O162+360,O162))</f>
        <v>172.727984006829</v>
      </c>
      <c r="Q162" s="6" t="n">
        <f aca="false">P162-1.437</f>
        <v>171.290984006829</v>
      </c>
      <c r="S162" s="6" t="n">
        <f aca="false">F162</f>
        <v>159</v>
      </c>
      <c r="T162" s="6" t="str">
        <f aca="false">G162</f>
        <v>DAV160</v>
      </c>
      <c r="U162" s="6" t="n">
        <f aca="false">H162</f>
        <v>156.44788780933</v>
      </c>
      <c r="V162" s="6" t="n">
        <f aca="false">Q162</f>
        <v>171.290984006829</v>
      </c>
      <c r="W162" s="2" t="n">
        <f aca="false">J162</f>
        <v>10.6824273233664</v>
      </c>
    </row>
    <row r="163" customFormat="false" ht="12.8" hidden="false" customHeight="false" outlineLevel="0" collapsed="false">
      <c r="A163" s="6" t="s">
        <v>5</v>
      </c>
      <c r="B163" s="1" t="n">
        <v>161</v>
      </c>
      <c r="C163" s="2" t="n">
        <v>352997.4</v>
      </c>
      <c r="D163" s="2" t="n">
        <v>5264966.8</v>
      </c>
      <c r="E163" s="2" t="n">
        <v>2148.8</v>
      </c>
      <c r="F163" s="6" t="n">
        <f aca="false">B162</f>
        <v>160</v>
      </c>
      <c r="G163" s="7" t="str">
        <f aca="false">_xlfn.CONCAT("DAV",B163)</f>
        <v>DAV161</v>
      </c>
      <c r="H163" s="6" t="n">
        <f aca="false">SQRT((C163-C162)^2+(D163-D162)^2+(E163-E162)^2)</f>
        <v>127.046652848951</v>
      </c>
      <c r="I163" s="6" t="n">
        <f aca="false">MOD((2*180*(ATAN((C162-C163)/(D163-D162))*180/PI())/360), 360)</f>
        <v>25.0383395952805</v>
      </c>
      <c r="J163" s="2" t="n">
        <f aca="false">ASIN((E163-E162)/H163)*180/PI()</f>
        <v>7.7352722506827</v>
      </c>
      <c r="L163" s="6" t="n">
        <f aca="false">C163-C162</f>
        <v>53.2800000000279</v>
      </c>
      <c r="M163" s="6" t="n">
        <f aca="false">D163-D162</f>
        <v>-114.060000000522</v>
      </c>
      <c r="N163" s="6" t="n">
        <f aca="false">(C163-C162)/(D163-D162)</f>
        <v>-0.467122567068072</v>
      </c>
      <c r="O163" s="12" t="n">
        <f aca="false">ATAN((C163-C162)/(D163-D162))*180/PI()</f>
        <v>-25.0383395952805</v>
      </c>
      <c r="P163" s="6" t="n">
        <f aca="false">IF(M163&lt;0,O163+180,IF(AND(M163&gt;0,L163&lt;0),O163+360,O163))</f>
        <v>154.961660404719</v>
      </c>
      <c r="Q163" s="6" t="n">
        <f aca="false">P163-1.437</f>
        <v>153.524660404719</v>
      </c>
      <c r="S163" s="6" t="n">
        <f aca="false">F163</f>
        <v>160</v>
      </c>
      <c r="T163" s="6" t="str">
        <f aca="false">G163</f>
        <v>DAV161</v>
      </c>
      <c r="U163" s="6" t="n">
        <f aca="false">H163</f>
        <v>127.046652848951</v>
      </c>
      <c r="V163" s="6" t="n">
        <f aca="false">Q163</f>
        <v>153.524660404719</v>
      </c>
      <c r="W163" s="2" t="n">
        <f aca="false">J163</f>
        <v>7.7352722506827</v>
      </c>
    </row>
    <row r="164" customFormat="false" ht="12.8" hidden="false" customHeight="false" outlineLevel="0" collapsed="false">
      <c r="A164" s="6" t="s">
        <v>5</v>
      </c>
      <c r="B164" s="1" t="n">
        <v>162</v>
      </c>
      <c r="C164" s="2" t="n">
        <v>352950.3</v>
      </c>
      <c r="D164" s="2" t="n">
        <v>5264886.57</v>
      </c>
      <c r="E164" s="2" t="n">
        <v>2155.6</v>
      </c>
      <c r="F164" s="6" t="n">
        <f aca="false">B163</f>
        <v>161</v>
      </c>
      <c r="G164" s="7" t="str">
        <f aca="false">_xlfn.CONCAT("DAV",B164)</f>
        <v>DAV162</v>
      </c>
      <c r="H164" s="6" t="n">
        <f aca="false">SQRT((C164-C163)^2+(D164-D163)^2+(E164-E163)^2)</f>
        <v>93.2818465722328</v>
      </c>
      <c r="I164" s="6" t="n">
        <f aca="false">MOD((2*180*(ATAN((C163-C164)/(D164-D163))*180/PI())/360), 360)</f>
        <v>329.584415690965</v>
      </c>
      <c r="J164" s="2" t="n">
        <f aca="false">ASIN((E164-E163)/H164)*180/PI()</f>
        <v>4.18041891468956</v>
      </c>
      <c r="L164" s="6" t="n">
        <f aca="false">C164-C163</f>
        <v>-47.1000000000349</v>
      </c>
      <c r="M164" s="6" t="n">
        <f aca="false">D164-D163</f>
        <v>-80.2299999995157</v>
      </c>
      <c r="N164" s="6" t="n">
        <f aca="false">(C164-C163)/(D164-D163)</f>
        <v>0.587062196189944</v>
      </c>
      <c r="O164" s="12" t="n">
        <f aca="false">ATAN((C164-C163)/(D164-D163))*180/PI()</f>
        <v>30.4155843090346</v>
      </c>
      <c r="P164" s="6" t="n">
        <f aca="false">IF(M164&lt;0,O164+180,IF(AND(M164&gt;0,L164&lt;0),O164+360,O164))</f>
        <v>210.415584309035</v>
      </c>
      <c r="Q164" s="6" t="n">
        <f aca="false">P164-1.437</f>
        <v>208.978584309035</v>
      </c>
      <c r="S164" s="6" t="n">
        <f aca="false">F164</f>
        <v>161</v>
      </c>
      <c r="T164" s="6" t="str">
        <f aca="false">G164</f>
        <v>DAV162</v>
      </c>
      <c r="U164" s="6" t="n">
        <f aca="false">H164</f>
        <v>93.2818465722328</v>
      </c>
      <c r="V164" s="6" t="n">
        <f aca="false">Q164</f>
        <v>208.978584309035</v>
      </c>
      <c r="W164" s="2" t="n">
        <f aca="false">J164</f>
        <v>4.18041891468956</v>
      </c>
    </row>
    <row r="165" customFormat="false" ht="12.8" hidden="false" customHeight="false" outlineLevel="0" collapsed="false">
      <c r="A165" s="6" t="s">
        <v>5</v>
      </c>
      <c r="B165" s="1" t="n">
        <v>163</v>
      </c>
      <c r="C165" s="2" t="n">
        <v>352901.42</v>
      </c>
      <c r="D165" s="2" t="n">
        <v>5264858.65</v>
      </c>
      <c r="E165" s="2" t="n">
        <v>2173.5</v>
      </c>
      <c r="F165" s="6" t="n">
        <f aca="false">B164</f>
        <v>162</v>
      </c>
      <c r="G165" s="7" t="str">
        <f aca="false">_xlfn.CONCAT("DAV",B165)</f>
        <v>DAV163</v>
      </c>
      <c r="H165" s="6" t="n">
        <f aca="false">SQRT((C165-C164)^2+(D165-D164)^2+(E165-E164)^2)</f>
        <v>59.0693727746985</v>
      </c>
      <c r="I165" s="6" t="n">
        <f aca="false">MOD((2*180*(ATAN((C164-C165)/(D165-D164))*180/PI())/360), 360)</f>
        <v>299.734781565</v>
      </c>
      <c r="J165" s="2" t="n">
        <f aca="false">ASIN((E165-E164)/H165)*180/PI()</f>
        <v>17.6398948518957</v>
      </c>
      <c r="L165" s="6" t="n">
        <f aca="false">C165-C164</f>
        <v>-48.8800000000047</v>
      </c>
      <c r="M165" s="6" t="n">
        <f aca="false">D165-D164</f>
        <v>-27.9199999999255</v>
      </c>
      <c r="N165" s="6" t="n">
        <f aca="false">(C165-C164)/(D165-D164)</f>
        <v>1.75071633238306</v>
      </c>
      <c r="O165" s="12" t="n">
        <f aca="false">ATAN((C165-C164)/(D165-D164))*180/PI()</f>
        <v>60.2652184349997</v>
      </c>
      <c r="P165" s="6" t="n">
        <f aca="false">IF(M165&lt;0,O165+180,IF(AND(M165&gt;0,L165&lt;0),O165+360,O165))</f>
        <v>240.265218435</v>
      </c>
      <c r="Q165" s="6" t="n">
        <f aca="false">P165-1.437</f>
        <v>238.828218435</v>
      </c>
      <c r="S165" s="6" t="n">
        <f aca="false">F165</f>
        <v>162</v>
      </c>
      <c r="T165" s="6" t="str">
        <f aca="false">G165</f>
        <v>DAV163</v>
      </c>
      <c r="U165" s="6" t="n">
        <f aca="false">H165</f>
        <v>59.0693727746985</v>
      </c>
      <c r="V165" s="6" t="n">
        <f aca="false">Q165</f>
        <v>238.828218435</v>
      </c>
      <c r="W165" s="2" t="n">
        <f aca="false">J165</f>
        <v>17.6398948518957</v>
      </c>
    </row>
    <row r="166" customFormat="false" ht="12.8" hidden="false" customHeight="false" outlineLevel="0" collapsed="false">
      <c r="A166" s="6" t="s">
        <v>5</v>
      </c>
      <c r="B166" s="1" t="n">
        <v>164</v>
      </c>
      <c r="C166" s="2" t="n">
        <v>352805.43</v>
      </c>
      <c r="D166" s="2" t="n">
        <v>5264867.26</v>
      </c>
      <c r="E166" s="2" t="n">
        <v>2171.2</v>
      </c>
      <c r="F166" s="6" t="n">
        <f aca="false">B165</f>
        <v>163</v>
      </c>
      <c r="G166" s="7" t="str">
        <f aca="false">_xlfn.CONCAT("DAV",B166)</f>
        <v>DAV164</v>
      </c>
      <c r="H166" s="6" t="n">
        <f aca="false">SQRT((C166-C165)^2+(D166-D165)^2+(E166-E165)^2)</f>
        <v>96.4028121995824</v>
      </c>
      <c r="I166" s="6" t="n">
        <f aca="false">MOD((2*180*(ATAN((C165-C166)/(D166-D165))*180/PI())/360), 360)</f>
        <v>84.8744659375503</v>
      </c>
      <c r="J166" s="2" t="n">
        <f aca="false">ASIN((E166-E165)/H166)*180/PI()</f>
        <v>-1.36710532567453</v>
      </c>
      <c r="L166" s="6" t="n">
        <f aca="false">C166-C165</f>
        <v>-95.9899999999907</v>
      </c>
      <c r="M166" s="6" t="n">
        <f aca="false">D166-D165</f>
        <v>8.60999999940395</v>
      </c>
      <c r="N166" s="6" t="n">
        <f aca="false">(C166-C165)/(D166-D165)</f>
        <v>-11.148664344557</v>
      </c>
      <c r="O166" s="12" t="n">
        <f aca="false">ATAN((C166-C165)/(D166-D165))*180/PI()</f>
        <v>-84.8744659375503</v>
      </c>
      <c r="P166" s="6" t="n">
        <f aca="false">IF(M166&lt;0,O166+180,IF(AND(M166&gt;0,L166&lt;0),O166+360,O166))</f>
        <v>275.12553406245</v>
      </c>
      <c r="Q166" s="6" t="n">
        <f aca="false">P166-1.437</f>
        <v>273.68853406245</v>
      </c>
      <c r="S166" s="6" t="n">
        <f aca="false">F166</f>
        <v>163</v>
      </c>
      <c r="T166" s="6" t="str">
        <f aca="false">G166</f>
        <v>DAV164</v>
      </c>
      <c r="U166" s="6" t="n">
        <f aca="false">H166</f>
        <v>96.4028121995824</v>
      </c>
      <c r="V166" s="6" t="n">
        <f aca="false">Q166</f>
        <v>273.68853406245</v>
      </c>
      <c r="W166" s="2" t="n">
        <f aca="false">J166</f>
        <v>-1.36710532567453</v>
      </c>
    </row>
    <row r="167" customFormat="false" ht="12.8" hidden="false" customHeight="false" outlineLevel="0" collapsed="false">
      <c r="A167" s="6" t="s">
        <v>5</v>
      </c>
      <c r="B167" s="1" t="n">
        <v>165</v>
      </c>
      <c r="C167" s="2" t="n">
        <v>352770.02</v>
      </c>
      <c r="D167" s="2" t="n">
        <v>5264860.31</v>
      </c>
      <c r="E167" s="2" t="n">
        <v>2169.3</v>
      </c>
      <c r="F167" s="6" t="n">
        <f aca="false">B166</f>
        <v>164</v>
      </c>
      <c r="G167" s="7" t="str">
        <f aca="false">_xlfn.CONCAT("DAV",B167)</f>
        <v>DAV165</v>
      </c>
      <c r="H167" s="6" t="n">
        <f aca="false">SQRT((C167-C166)^2+(D167-D166)^2+(E167-E166)^2)</f>
        <v>36.1355863381345</v>
      </c>
      <c r="I167" s="6" t="n">
        <f aca="false">MOD((2*180*(ATAN((C166-C167)/(D167-D166))*180/PI())/360), 360)</f>
        <v>281.104415885732</v>
      </c>
      <c r="J167" s="2" t="n">
        <f aca="false">ASIN((E167-E166)/H167)*180/PI()</f>
        <v>-3.01398746033478</v>
      </c>
      <c r="L167" s="6" t="n">
        <f aca="false">C167-C166</f>
        <v>-35.4099999999744</v>
      </c>
      <c r="M167" s="6" t="n">
        <f aca="false">D167-D166</f>
        <v>-6.95000000018626</v>
      </c>
      <c r="N167" s="6" t="n">
        <f aca="false">(C167-C166)/(D167-D166)</f>
        <v>5.09496402863675</v>
      </c>
      <c r="O167" s="12" t="n">
        <f aca="false">ATAN((C167-C166)/(D167-D166))*180/PI()</f>
        <v>78.8955841142676</v>
      </c>
      <c r="P167" s="6" t="n">
        <f aca="false">IF(M167&lt;0,O167+180,IF(AND(M167&gt;0,L167&lt;0),O167+360,O167))</f>
        <v>258.895584114268</v>
      </c>
      <c r="Q167" s="6" t="n">
        <f aca="false">P167-1.437</f>
        <v>257.458584114268</v>
      </c>
      <c r="S167" s="6" t="n">
        <f aca="false">F167</f>
        <v>164</v>
      </c>
      <c r="T167" s="6" t="str">
        <f aca="false">G167</f>
        <v>DAV165</v>
      </c>
      <c r="U167" s="6" t="n">
        <f aca="false">H167</f>
        <v>36.1355863381345</v>
      </c>
      <c r="V167" s="6" t="n">
        <f aca="false">Q167</f>
        <v>257.458584114268</v>
      </c>
      <c r="W167" s="2" t="n">
        <f aca="false">J167</f>
        <v>-3.01398746033478</v>
      </c>
    </row>
    <row r="168" customFormat="false" ht="12.8" hidden="false" customHeight="false" outlineLevel="0" collapsed="false">
      <c r="A168" s="6" t="s">
        <v>5</v>
      </c>
      <c r="B168" s="1" t="n">
        <v>166</v>
      </c>
      <c r="C168" s="2" t="n">
        <v>352690.14</v>
      </c>
      <c r="D168" s="2" t="n">
        <v>5264800.79</v>
      </c>
      <c r="E168" s="2" t="n">
        <v>2154.7</v>
      </c>
      <c r="F168" s="6" t="n">
        <f aca="false">B167</f>
        <v>165</v>
      </c>
      <c r="G168" s="7" t="str">
        <f aca="false">_xlfn.CONCAT("DAV",B168)</f>
        <v>DAV166</v>
      </c>
      <c r="H168" s="6" t="n">
        <f aca="false">SQRT((C168-C167)^2+(D168-D167)^2+(E168-E167)^2)</f>
        <v>100.680707188356</v>
      </c>
      <c r="I168" s="6" t="n">
        <f aca="false">MOD((2*180*(ATAN((C167-C168)/(D168-D167))*180/PI())/360), 360)</f>
        <v>306.690446304934</v>
      </c>
      <c r="J168" s="2" t="n">
        <f aca="false">ASIN((E168-E167)/H168)*180/PI()</f>
        <v>-8.33802543864564</v>
      </c>
      <c r="L168" s="6" t="n">
        <f aca="false">C168-C167</f>
        <v>-79.8800000000047</v>
      </c>
      <c r="M168" s="6" t="n">
        <f aca="false">D168-D167</f>
        <v>-59.519999999553</v>
      </c>
      <c r="N168" s="6" t="n">
        <f aca="false">(C168-C167)/(D168-D167)</f>
        <v>1.34206989248328</v>
      </c>
      <c r="O168" s="12" t="n">
        <f aca="false">ATAN((C168-C167)/(D168-D167))*180/PI()</f>
        <v>53.3095536950661</v>
      </c>
      <c r="P168" s="6" t="n">
        <f aca="false">IF(M168&lt;0,O168+180,IF(AND(M168&gt;0,L168&lt;0),O168+360,O168))</f>
        <v>233.309553695066</v>
      </c>
      <c r="Q168" s="6" t="n">
        <f aca="false">P168-1.437</f>
        <v>231.872553695066</v>
      </c>
      <c r="S168" s="6" t="n">
        <f aca="false">F168</f>
        <v>165</v>
      </c>
      <c r="T168" s="6" t="str">
        <f aca="false">G168</f>
        <v>DAV166</v>
      </c>
      <c r="U168" s="6" t="n">
        <f aca="false">H168</f>
        <v>100.680707188356</v>
      </c>
      <c r="V168" s="6" t="n">
        <f aca="false">Q168</f>
        <v>231.872553695066</v>
      </c>
      <c r="W168" s="2" t="n">
        <f aca="false">J168</f>
        <v>-8.33802543864564</v>
      </c>
    </row>
    <row r="169" customFormat="false" ht="12.8" hidden="false" customHeight="false" outlineLevel="0" collapsed="false">
      <c r="A169" s="6" t="s">
        <v>5</v>
      </c>
      <c r="B169" s="1" t="n">
        <v>167</v>
      </c>
      <c r="C169" s="2" t="n">
        <v>352753</v>
      </c>
      <c r="D169" s="2" t="n">
        <v>5264699.49</v>
      </c>
      <c r="E169" s="2" t="n">
        <v>2166</v>
      </c>
      <c r="F169" s="6" t="n">
        <f aca="false">B168</f>
        <v>166</v>
      </c>
      <c r="G169" s="7" t="str">
        <f aca="false">_xlfn.CONCAT("DAV",B169)</f>
        <v>DAV167</v>
      </c>
      <c r="H169" s="6" t="n">
        <f aca="false">SQRT((C169-C168)^2+(D169-D168)^2+(E169-E168)^2)</f>
        <v>119.752910611644</v>
      </c>
      <c r="I169" s="6" t="n">
        <f aca="false">MOD((2*180*(ATAN((C168-C169)/(D169-D168))*180/PI())/360), 360)</f>
        <v>31.820969581727</v>
      </c>
      <c r="J169" s="2" t="n">
        <f aca="false">ASIN((E169-E168)/H169)*180/PI()</f>
        <v>5.41454048101554</v>
      </c>
      <c r="L169" s="6" t="n">
        <f aca="false">C169-C168</f>
        <v>62.859999999986</v>
      </c>
      <c r="M169" s="6" t="n">
        <f aca="false">D169-D168</f>
        <v>-101.299999999814</v>
      </c>
      <c r="N169" s="6" t="n">
        <f aca="false">(C169-C168)/(D169-D168)</f>
        <v>-0.620533070089848</v>
      </c>
      <c r="O169" s="12" t="n">
        <f aca="false">ATAN((C169-C168)/(D169-D168))*180/PI()</f>
        <v>-31.820969581727</v>
      </c>
      <c r="P169" s="6" t="n">
        <f aca="false">IF(M169&lt;0,O169+180,IF(AND(M169&gt;0,L169&lt;0),O169+360,O169))</f>
        <v>148.179030418273</v>
      </c>
      <c r="Q169" s="6" t="n">
        <f aca="false">P169-1.437</f>
        <v>146.742030418273</v>
      </c>
      <c r="S169" s="6" t="n">
        <f aca="false">F169</f>
        <v>166</v>
      </c>
      <c r="T169" s="6" t="str">
        <f aca="false">G169</f>
        <v>DAV167</v>
      </c>
      <c r="U169" s="6" t="n">
        <f aca="false">H169</f>
        <v>119.752910611644</v>
      </c>
      <c r="V169" s="6" t="n">
        <f aca="false">Q169</f>
        <v>146.742030418273</v>
      </c>
      <c r="W169" s="2" t="n">
        <f aca="false">J169</f>
        <v>5.41454048101554</v>
      </c>
    </row>
    <row r="170" customFormat="false" ht="12.8" hidden="false" customHeight="false" outlineLevel="0" collapsed="false">
      <c r="A170" s="6" t="s">
        <v>5</v>
      </c>
      <c r="B170" s="1" t="n">
        <v>168</v>
      </c>
      <c r="C170" s="2" t="n">
        <v>352696.38</v>
      </c>
      <c r="D170" s="2" t="n">
        <v>5264677.42</v>
      </c>
      <c r="E170" s="2" t="n">
        <v>2163.1</v>
      </c>
      <c r="F170" s="6" t="n">
        <f aca="false">B169</f>
        <v>167</v>
      </c>
      <c r="G170" s="7" t="str">
        <f aca="false">_xlfn.CONCAT("DAV",B170)</f>
        <v>DAV168</v>
      </c>
      <c r="H170" s="6" t="n">
        <f aca="false">SQRT((C170-C169)^2+(D170-D169)^2+(E170-E169)^2)</f>
        <v>60.8384689157496</v>
      </c>
      <c r="I170" s="6" t="n">
        <f aca="false">MOD((2*180*(ATAN((C169-C170)/(D170-D169))*180/PI())/360), 360)</f>
        <v>291.295418476643</v>
      </c>
      <c r="J170" s="2" t="n">
        <f aca="false">ASIN((E170-E169)/H170)*180/PI()</f>
        <v>-2.73216520546974</v>
      </c>
      <c r="L170" s="6" t="n">
        <f aca="false">C170-C169</f>
        <v>-56.6199999999953</v>
      </c>
      <c r="M170" s="6" t="n">
        <f aca="false">D170-D169</f>
        <v>-22.070000000298</v>
      </c>
      <c r="N170" s="6" t="n">
        <f aca="false">(C170-C169)/(D170-D169)</f>
        <v>2.56547349339514</v>
      </c>
      <c r="O170" s="12" t="n">
        <f aca="false">ATAN((C170-C169)/(D170-D169))*180/PI()</f>
        <v>68.7045815233575</v>
      </c>
      <c r="P170" s="6" t="n">
        <f aca="false">IF(M170&lt;0,O170+180,IF(AND(M170&gt;0,L170&lt;0),O170+360,O170))</f>
        <v>248.704581523358</v>
      </c>
      <c r="Q170" s="6" t="n">
        <f aca="false">P170-1.437</f>
        <v>247.267581523357</v>
      </c>
      <c r="S170" s="6" t="n">
        <f aca="false">F170</f>
        <v>167</v>
      </c>
      <c r="T170" s="6" t="str">
        <f aca="false">G170</f>
        <v>DAV168</v>
      </c>
      <c r="U170" s="6" t="n">
        <f aca="false">H170</f>
        <v>60.8384689157496</v>
      </c>
      <c r="V170" s="6" t="n">
        <f aca="false">Q170</f>
        <v>247.267581523357</v>
      </c>
      <c r="W170" s="2" t="n">
        <f aca="false">J170</f>
        <v>-2.73216520546974</v>
      </c>
    </row>
    <row r="171" customFormat="false" ht="12.8" hidden="false" customHeight="false" outlineLevel="0" collapsed="false">
      <c r="A171" s="6" t="s">
        <v>5</v>
      </c>
      <c r="B171" s="1" t="n">
        <v>169</v>
      </c>
      <c r="C171" s="2" t="n">
        <v>352704.65</v>
      </c>
      <c r="D171" s="2" t="n">
        <v>5264554.59</v>
      </c>
      <c r="E171" s="2" t="n">
        <v>2133.6</v>
      </c>
      <c r="F171" s="6" t="n">
        <f aca="false">B170</f>
        <v>168</v>
      </c>
      <c r="G171" s="7" t="str">
        <f aca="false">_xlfn.CONCAT("DAV",B171)</f>
        <v>DAV169</v>
      </c>
      <c r="H171" s="6" t="n">
        <f aca="false">SQRT((C171-C170)^2+(D171-D170)^2+(E171-E170)^2)</f>
        <v>126.593253374809</v>
      </c>
      <c r="I171" s="6" t="n">
        <f aca="false">MOD((2*180*(ATAN((C170-C171)/(D171-D170))*180/PI())/360), 360)</f>
        <v>3.85184437311447</v>
      </c>
      <c r="J171" s="2" t="n">
        <f aca="false">ASIN((E171-E170)/H171)*180/PI()</f>
        <v>-13.4755143931217</v>
      </c>
      <c r="L171" s="6" t="n">
        <f aca="false">C171-C170</f>
        <v>8.27000000001863</v>
      </c>
      <c r="M171" s="6" t="n">
        <f aca="false">D171-D170</f>
        <v>-122.830000000075</v>
      </c>
      <c r="N171" s="6" t="n">
        <f aca="false">(C171-C170)/(D171-D170)</f>
        <v>-0.0673288284622129</v>
      </c>
      <c r="O171" s="12" t="n">
        <f aca="false">ATAN((C171-C170)/(D171-D170))*180/PI()</f>
        <v>-3.85184437311447</v>
      </c>
      <c r="P171" s="6" t="n">
        <f aca="false">IF(M171&lt;0,O171+180,IF(AND(M171&gt;0,L171&lt;0),O171+360,O171))</f>
        <v>176.148155626886</v>
      </c>
      <c r="Q171" s="6" t="n">
        <f aca="false">P171-1.437</f>
        <v>174.711155626886</v>
      </c>
      <c r="S171" s="6" t="n">
        <f aca="false">F171</f>
        <v>168</v>
      </c>
      <c r="T171" s="6" t="str">
        <f aca="false">G171</f>
        <v>DAV169</v>
      </c>
      <c r="U171" s="6" t="n">
        <f aca="false">H171</f>
        <v>126.593253374809</v>
      </c>
      <c r="V171" s="6" t="n">
        <f aca="false">Q171</f>
        <v>174.711155626886</v>
      </c>
      <c r="W171" s="2" t="n">
        <f aca="false">J171</f>
        <v>-13.4755143931217</v>
      </c>
    </row>
    <row r="172" customFormat="false" ht="12.8" hidden="false" customHeight="false" outlineLevel="0" collapsed="false">
      <c r="A172" s="6" t="s">
        <v>5</v>
      </c>
      <c r="B172" s="1" t="n">
        <v>170</v>
      </c>
      <c r="C172" s="2" t="n">
        <v>352688.51</v>
      </c>
      <c r="D172" s="2" t="n">
        <v>5264443.34</v>
      </c>
      <c r="E172" s="2" t="n">
        <v>2108.7</v>
      </c>
      <c r="F172" s="6" t="n">
        <f aca="false">B171</f>
        <v>169</v>
      </c>
      <c r="G172" s="7" t="str">
        <f aca="false">_xlfn.CONCAT("DAV",B172)</f>
        <v>DAV170</v>
      </c>
      <c r="H172" s="6" t="n">
        <f aca="false">SQRT((C172-C171)^2+(D172-D171)^2+(E172-E171)^2)</f>
        <v>115.139359473642</v>
      </c>
      <c r="I172" s="6" t="n">
        <f aca="false">MOD((2*180*(ATAN((C171-C172)/(D172-D171))*180/PI())/360), 360)</f>
        <v>351.745199206991</v>
      </c>
      <c r="J172" s="2" t="n">
        <f aca="false">ASIN((E172-E171)/H172)*180/PI()</f>
        <v>-12.4894399242408</v>
      </c>
      <c r="L172" s="6" t="n">
        <f aca="false">C172-C171</f>
        <v>-16.140000000014</v>
      </c>
      <c r="M172" s="6" t="n">
        <f aca="false">D172-D171</f>
        <v>-111.25</v>
      </c>
      <c r="N172" s="6" t="n">
        <f aca="false">(C172-C171)/(D172-D171)</f>
        <v>0.145078651685519</v>
      </c>
      <c r="O172" s="12" t="n">
        <f aca="false">ATAN((C172-C171)/(D172-D171))*180/PI()</f>
        <v>8.25480079300867</v>
      </c>
      <c r="P172" s="6" t="n">
        <f aca="false">IF(M172&lt;0,O172+180,IF(AND(M172&gt;0,L172&lt;0),O172+360,O172))</f>
        <v>188.254800793009</v>
      </c>
      <c r="Q172" s="6" t="n">
        <f aca="false">P172-1.437</f>
        <v>186.817800793009</v>
      </c>
      <c r="S172" s="6" t="n">
        <f aca="false">F172</f>
        <v>169</v>
      </c>
      <c r="T172" s="6" t="str">
        <f aca="false">G172</f>
        <v>DAV170</v>
      </c>
      <c r="U172" s="6" t="n">
        <f aca="false">H172</f>
        <v>115.139359473642</v>
      </c>
      <c r="V172" s="6" t="n">
        <f aca="false">Q172</f>
        <v>186.817800793009</v>
      </c>
      <c r="W172" s="2" t="n">
        <f aca="false">J172</f>
        <v>-12.4894399242408</v>
      </c>
    </row>
    <row r="173" customFormat="false" ht="12.8" hidden="false" customHeight="false" outlineLevel="0" collapsed="false">
      <c r="A173" s="6" t="s">
        <v>5</v>
      </c>
      <c r="B173" s="1" t="n">
        <v>171</v>
      </c>
      <c r="C173" s="2" t="n">
        <v>352717.68</v>
      </c>
      <c r="D173" s="2" t="n">
        <v>5264372.27</v>
      </c>
      <c r="E173" s="2" t="n">
        <v>2131.3</v>
      </c>
      <c r="F173" s="6" t="n">
        <f aca="false">B172</f>
        <v>170</v>
      </c>
      <c r="G173" s="7" t="str">
        <f aca="false">_xlfn.CONCAT("DAV",B173)</f>
        <v>DAV171</v>
      </c>
      <c r="H173" s="6" t="n">
        <f aca="false">SQRT((C173-C172)^2+(D173-D172)^2+(E173-E172)^2)</f>
        <v>80.0786725666792</v>
      </c>
      <c r="I173" s="6" t="n">
        <f aca="false">MOD((2*180*(ATAN((C172-C173)/(D173-D172))*180/PI())/360), 360)</f>
        <v>22.3152281514509</v>
      </c>
      <c r="J173" s="2" t="n">
        <f aca="false">ASIN((E173-E172)/H173)*180/PI()</f>
        <v>16.3928929758203</v>
      </c>
      <c r="L173" s="6" t="n">
        <f aca="false">C173-C172</f>
        <v>29.1699999999837</v>
      </c>
      <c r="M173" s="6" t="n">
        <f aca="false">D173-D172</f>
        <v>-71.070000000298</v>
      </c>
      <c r="N173" s="6" t="n">
        <f aca="false">(C173-C172)/(D173-D172)</f>
        <v>-0.410440410860579</v>
      </c>
      <c r="O173" s="12" t="n">
        <f aca="false">ATAN((C173-C172)/(D173-D172))*180/PI()</f>
        <v>-22.3152281514509</v>
      </c>
      <c r="P173" s="6" t="n">
        <f aca="false">IF(M173&lt;0,O173+180,IF(AND(M173&gt;0,L173&lt;0),O173+360,O173))</f>
        <v>157.684771848549</v>
      </c>
      <c r="Q173" s="6" t="n">
        <f aca="false">P173-1.437</f>
        <v>156.247771848549</v>
      </c>
      <c r="S173" s="6" t="n">
        <f aca="false">F173</f>
        <v>170</v>
      </c>
      <c r="T173" s="6" t="str">
        <f aca="false">G173</f>
        <v>DAV171</v>
      </c>
      <c r="U173" s="6" t="n">
        <f aca="false">H173</f>
        <v>80.0786725666792</v>
      </c>
      <c r="V173" s="6" t="n">
        <f aca="false">Q173</f>
        <v>156.247771848549</v>
      </c>
      <c r="W173" s="2" t="n">
        <f aca="false">J173</f>
        <v>16.3928929758203</v>
      </c>
    </row>
    <row r="174" customFormat="false" ht="12.8" hidden="false" customHeight="false" outlineLevel="0" collapsed="false">
      <c r="A174" s="6" t="s">
        <v>5</v>
      </c>
      <c r="B174" s="1" t="n">
        <v>172</v>
      </c>
      <c r="C174" s="2" t="n">
        <v>352800.28</v>
      </c>
      <c r="D174" s="2" t="n">
        <v>5264374.33</v>
      </c>
      <c r="E174" s="2" t="n">
        <v>2128.9</v>
      </c>
      <c r="F174" s="6" t="n">
        <f aca="false">B173</f>
        <v>171</v>
      </c>
      <c r="G174" s="7" t="str">
        <f aca="false">_xlfn.CONCAT("DAV",B174)</f>
        <v>DAV172</v>
      </c>
      <c r="H174" s="6" t="n">
        <f aca="false">SQRT((C174-C173)^2+(D174-D173)^2+(E174-E173)^2)</f>
        <v>82.660532299326</v>
      </c>
      <c r="I174" s="6" t="n">
        <f aca="false">MOD((2*180*(ATAN((C173-C174)/(D174-D173))*180/PI())/360), 360)</f>
        <v>271.428630078076</v>
      </c>
      <c r="J174" s="2" t="n">
        <f aca="false">ASIN((E174-E173)/H174)*180/PI()</f>
        <v>-1.66378311885093</v>
      </c>
      <c r="L174" s="6" t="n">
        <f aca="false">C174-C173</f>
        <v>82.6000000000349</v>
      </c>
      <c r="M174" s="6" t="n">
        <f aca="false">D174-D173</f>
        <v>2.06000000052154</v>
      </c>
      <c r="N174" s="6" t="n">
        <f aca="false">(C174-C173)/(D174-D173)</f>
        <v>40.0970873685061</v>
      </c>
      <c r="O174" s="12" t="n">
        <f aca="false">ATAN((C174-C173)/(D174-D173))*180/PI()</f>
        <v>88.571369921924</v>
      </c>
      <c r="P174" s="6" t="n">
        <f aca="false">IF(M174&lt;0,O174+180,IF(AND(M174&gt;0,L174&lt;0),O174+360,O174))</f>
        <v>88.571369921924</v>
      </c>
      <c r="Q174" s="6" t="n">
        <f aca="false">P174-1.437</f>
        <v>87.134369921924</v>
      </c>
      <c r="S174" s="6" t="n">
        <f aca="false">F174</f>
        <v>171</v>
      </c>
      <c r="T174" s="6" t="str">
        <f aca="false">G174</f>
        <v>DAV172</v>
      </c>
      <c r="U174" s="6" t="n">
        <f aca="false">H174</f>
        <v>82.660532299326</v>
      </c>
      <c r="V174" s="6" t="n">
        <f aca="false">Q174</f>
        <v>87.134369921924</v>
      </c>
      <c r="W174" s="2" t="n">
        <f aca="false">J174</f>
        <v>-1.66378311885093</v>
      </c>
    </row>
    <row r="175" customFormat="false" ht="12.8" hidden="false" customHeight="false" outlineLevel="0" collapsed="false">
      <c r="A175" s="6" t="s">
        <v>5</v>
      </c>
      <c r="B175" s="1" t="n">
        <v>173</v>
      </c>
      <c r="C175" s="2" t="n">
        <v>352890.99</v>
      </c>
      <c r="D175" s="2" t="n">
        <v>5264334.75</v>
      </c>
      <c r="E175" s="2" t="n">
        <v>2121.8</v>
      </c>
      <c r="F175" s="6" t="n">
        <f aca="false">B174</f>
        <v>172</v>
      </c>
      <c r="G175" s="7" t="str">
        <f aca="false">_xlfn.CONCAT("DAV",B175)</f>
        <v>DAV173</v>
      </c>
      <c r="H175" s="6" t="n">
        <f aca="false">SQRT((C175-C174)^2+(D175-D174)^2+(E175-E174)^2)</f>
        <v>99.2234372514838</v>
      </c>
      <c r="I175" s="6" t="n">
        <f aca="false">MOD((2*180*(ATAN((C174-C175)/(D175-D174))*180/PI())/360), 360)</f>
        <v>66.4266444378186</v>
      </c>
      <c r="J175" s="2" t="n">
        <f aca="false">ASIN((E175-E174)/H175)*180/PI()</f>
        <v>-4.10334492247021</v>
      </c>
      <c r="L175" s="6" t="n">
        <f aca="false">C175-C174</f>
        <v>90.7099999999628</v>
      </c>
      <c r="M175" s="6" t="n">
        <f aca="false">D175-D174</f>
        <v>-39.5800000000745</v>
      </c>
      <c r="N175" s="6" t="n">
        <f aca="false">(C175-C174)/(D175-D174)</f>
        <v>-2.29181404749348</v>
      </c>
      <c r="O175" s="12" t="n">
        <f aca="false">ATAN((C175-C174)/(D175-D174))*180/PI()</f>
        <v>-66.4266444378186</v>
      </c>
      <c r="P175" s="6" t="n">
        <f aca="false">IF(M175&lt;0,O175+180,IF(AND(M175&gt;0,L175&lt;0),O175+360,O175))</f>
        <v>113.573355562181</v>
      </c>
      <c r="Q175" s="6" t="n">
        <f aca="false">P175-1.437</f>
        <v>112.136355562181</v>
      </c>
      <c r="S175" s="6" t="n">
        <f aca="false">F175</f>
        <v>172</v>
      </c>
      <c r="T175" s="6" t="str">
        <f aca="false">G175</f>
        <v>DAV173</v>
      </c>
      <c r="U175" s="6" t="n">
        <f aca="false">H175</f>
        <v>99.2234372514838</v>
      </c>
      <c r="V175" s="6" t="n">
        <f aca="false">Q175</f>
        <v>112.136355562181</v>
      </c>
      <c r="W175" s="2" t="n">
        <f aca="false">J175</f>
        <v>-4.10334492247021</v>
      </c>
    </row>
    <row r="176" customFormat="false" ht="12.8" hidden="false" customHeight="false" outlineLevel="0" collapsed="false">
      <c r="A176" s="6" t="s">
        <v>5</v>
      </c>
      <c r="B176" s="1" t="n">
        <v>174</v>
      </c>
      <c r="C176" s="2" t="n">
        <v>352926.69</v>
      </c>
      <c r="D176" s="2" t="n">
        <v>5264262.94</v>
      </c>
      <c r="E176" s="2" t="n">
        <v>2135.8</v>
      </c>
      <c r="F176" s="6" t="n">
        <f aca="false">B175</f>
        <v>173</v>
      </c>
      <c r="G176" s="7" t="str">
        <f aca="false">_xlfn.CONCAT("DAV",B176)</f>
        <v>DAV174</v>
      </c>
      <c r="H176" s="6" t="n">
        <f aca="false">SQRT((C176-C175)^2+(D176-D175)^2+(E176-E175)^2)</f>
        <v>81.4074081391981</v>
      </c>
      <c r="I176" s="6" t="n">
        <f aca="false">MOD((2*180*(ATAN((C175-C176)/(D176-D175))*180/PI())/360), 360)</f>
        <v>26.4340494559051</v>
      </c>
      <c r="J176" s="2" t="n">
        <f aca="false">ASIN((E176-E175)/H176)*180/PI()</f>
        <v>9.90264174899504</v>
      </c>
      <c r="L176" s="6" t="n">
        <f aca="false">C176-C175</f>
        <v>35.7000000000116</v>
      </c>
      <c r="M176" s="6" t="n">
        <f aca="false">D176-D175</f>
        <v>-71.8099999995902</v>
      </c>
      <c r="N176" s="6" t="n">
        <f aca="false">(C176-C175)/(D176-D175)</f>
        <v>-0.49714524439793</v>
      </c>
      <c r="O176" s="12" t="n">
        <f aca="false">ATAN((C176-C175)/(D176-D175))*180/PI()</f>
        <v>-26.4340494559051</v>
      </c>
      <c r="P176" s="6" t="n">
        <f aca="false">IF(M176&lt;0,O176+180,IF(AND(M176&gt;0,L176&lt;0),O176+360,O176))</f>
        <v>153.565950544095</v>
      </c>
      <c r="Q176" s="6" t="n">
        <f aca="false">P176-1.437</f>
        <v>152.128950544095</v>
      </c>
      <c r="S176" s="6" t="n">
        <f aca="false">F176</f>
        <v>173</v>
      </c>
      <c r="T176" s="6" t="str">
        <f aca="false">G176</f>
        <v>DAV174</v>
      </c>
      <c r="U176" s="6" t="n">
        <f aca="false">H176</f>
        <v>81.4074081391981</v>
      </c>
      <c r="V176" s="6" t="n">
        <f aca="false">Q176</f>
        <v>152.128950544095</v>
      </c>
      <c r="W176" s="2" t="n">
        <f aca="false">J176</f>
        <v>9.90264174899504</v>
      </c>
    </row>
    <row r="177" customFormat="false" ht="12.8" hidden="false" customHeight="false" outlineLevel="0" collapsed="false">
      <c r="A177" s="6" t="s">
        <v>5</v>
      </c>
      <c r="B177" s="1" t="n">
        <v>175</v>
      </c>
      <c r="C177" s="2" t="n">
        <v>352933.84</v>
      </c>
      <c r="D177" s="2" t="n">
        <v>5264219.98</v>
      </c>
      <c r="E177" s="2" t="n">
        <v>2142.5</v>
      </c>
      <c r="F177" s="6" t="n">
        <f aca="false">B176</f>
        <v>174</v>
      </c>
      <c r="G177" s="7" t="str">
        <f aca="false">_xlfn.CONCAT("DAV",B177)</f>
        <v>DAV175</v>
      </c>
      <c r="H177" s="6" t="n">
        <f aca="false">SQRT((C177-C176)^2+(D177-D176)^2+(E177-E176)^2)</f>
        <v>44.0632965175908</v>
      </c>
      <c r="I177" s="6" t="n">
        <f aca="false">MOD((2*180*(ATAN((C176-C177)/(D177-D176))*180/PI())/360), 360)</f>
        <v>9.44934517166661</v>
      </c>
      <c r="J177" s="2" t="n">
        <f aca="false">ASIN((E177-E176)/H177)*180/PI()</f>
        <v>8.74597702889463</v>
      </c>
      <c r="L177" s="6" t="n">
        <f aca="false">C177-C176</f>
        <v>7.15000000002328</v>
      </c>
      <c r="M177" s="6" t="n">
        <f aca="false">D177-D176</f>
        <v>-42.9599999999628</v>
      </c>
      <c r="N177" s="6" t="n">
        <f aca="false">(C177-C176)/(D177-D176)</f>
        <v>-0.166433891993238</v>
      </c>
      <c r="O177" s="12" t="n">
        <f aca="false">ATAN((C177-C176)/(D177-D176))*180/PI()</f>
        <v>-9.44934517166661</v>
      </c>
      <c r="P177" s="6" t="n">
        <f aca="false">IF(M177&lt;0,O177+180,IF(AND(M177&gt;0,L177&lt;0),O177+360,O177))</f>
        <v>170.550654828333</v>
      </c>
      <c r="Q177" s="6" t="n">
        <f aca="false">P177-1.437</f>
        <v>169.113654828333</v>
      </c>
      <c r="S177" s="6" t="n">
        <f aca="false">F177</f>
        <v>174</v>
      </c>
      <c r="T177" s="6" t="str">
        <f aca="false">G177</f>
        <v>DAV175</v>
      </c>
      <c r="U177" s="6" t="n">
        <f aca="false">H177</f>
        <v>44.0632965175908</v>
      </c>
      <c r="V177" s="6" t="n">
        <f aca="false">Q177</f>
        <v>169.113654828333</v>
      </c>
      <c r="W177" s="2" t="n">
        <f aca="false">J177</f>
        <v>8.74597702889463</v>
      </c>
    </row>
    <row r="178" customFormat="false" ht="12.8" hidden="false" customHeight="false" outlineLevel="0" collapsed="false">
      <c r="A178" s="6" t="s">
        <v>5</v>
      </c>
      <c r="B178" s="1" t="n">
        <v>176</v>
      </c>
      <c r="C178" s="2" t="n">
        <v>352913.65</v>
      </c>
      <c r="D178" s="2" t="n">
        <v>5264065.49</v>
      </c>
      <c r="E178" s="2" t="n">
        <v>2108.1</v>
      </c>
      <c r="F178" s="6" t="n">
        <f aca="false">B177</f>
        <v>175</v>
      </c>
      <c r="G178" s="7" t="str">
        <f aca="false">_xlfn.CONCAT("DAV",B178)</f>
        <v>DAV176</v>
      </c>
      <c r="H178" s="6" t="n">
        <f aca="false">SQRT((C178-C177)^2+(D178-D177)^2+(E178-E177)^2)</f>
        <v>159.556122414871</v>
      </c>
      <c r="I178" s="6" t="n">
        <f aca="false">MOD((2*180*(ATAN((C177-C178)/(D178-D177))*180/PI())/360), 360)</f>
        <v>352.554322940971</v>
      </c>
      <c r="J178" s="2" t="n">
        <f aca="false">ASIN((E178-E177)/H178)*180/PI()</f>
        <v>-12.4506200364374</v>
      </c>
      <c r="L178" s="6" t="n">
        <f aca="false">C178-C177</f>
        <v>-20.1900000000023</v>
      </c>
      <c r="M178" s="6" t="n">
        <f aca="false">D178-D177</f>
        <v>-154.490000000224</v>
      </c>
      <c r="N178" s="6" t="n">
        <f aca="false">(C178-C177)/(D178-D177)</f>
        <v>0.130688070425096</v>
      </c>
      <c r="O178" s="12" t="n">
        <f aca="false">ATAN((C178-C177)/(D178-D177))*180/PI()</f>
        <v>7.44567705902927</v>
      </c>
      <c r="P178" s="6" t="n">
        <f aca="false">IF(M178&lt;0,O178+180,IF(AND(M178&gt;0,L178&lt;0),O178+360,O178))</f>
        <v>187.445677059029</v>
      </c>
      <c r="Q178" s="6" t="n">
        <f aca="false">P178-1.437</f>
        <v>186.008677059029</v>
      </c>
      <c r="S178" s="6" t="n">
        <f aca="false">F178</f>
        <v>175</v>
      </c>
      <c r="T178" s="6" t="str">
        <f aca="false">G178</f>
        <v>DAV176</v>
      </c>
      <c r="U178" s="6" t="n">
        <f aca="false">H178</f>
        <v>159.556122414871</v>
      </c>
      <c r="V178" s="6" t="n">
        <f aca="false">Q178</f>
        <v>186.008677059029</v>
      </c>
      <c r="W178" s="2" t="n">
        <f aca="false">J178</f>
        <v>-12.4506200364374</v>
      </c>
    </row>
    <row r="179" customFormat="false" ht="12.8" hidden="false" customHeight="false" outlineLevel="0" collapsed="false">
      <c r="A179" s="6" t="s">
        <v>5</v>
      </c>
      <c r="B179" s="1" t="n">
        <v>177</v>
      </c>
      <c r="C179" s="2" t="n">
        <v>352907.24</v>
      </c>
      <c r="D179" s="2" t="n">
        <v>5263989</v>
      </c>
      <c r="E179" s="2" t="n">
        <v>2087.7</v>
      </c>
      <c r="F179" s="6" t="n">
        <f aca="false">B178</f>
        <v>176</v>
      </c>
      <c r="G179" s="7" t="str">
        <f aca="false">_xlfn.CONCAT("DAV",B179)</f>
        <v>DAV177</v>
      </c>
      <c r="H179" s="6" t="n">
        <f aca="false">SQRT((C179-C178)^2+(D179-D178)^2+(E179-E178)^2)</f>
        <v>79.4227184125211</v>
      </c>
      <c r="I179" s="6" t="n">
        <f aca="false">MOD((2*180*(ATAN((C178-C179)/(D179-D178))*180/PI())/360), 360)</f>
        <v>355.209703056677</v>
      </c>
      <c r="J179" s="2" t="n">
        <f aca="false">ASIN((E179-E178)/H179)*180/PI()</f>
        <v>-14.883439144069</v>
      </c>
      <c r="L179" s="6" t="n">
        <f aca="false">C179-C178</f>
        <v>-6.4100000000326</v>
      </c>
      <c r="M179" s="6" t="n">
        <f aca="false">D179-D178</f>
        <v>-76.4900000002235</v>
      </c>
      <c r="N179" s="6" t="n">
        <f aca="false">(C179-C178)/(D179-D178)</f>
        <v>0.0838018041575875</v>
      </c>
      <c r="O179" s="12" t="n">
        <f aca="false">ATAN((C179-C178)/(D179-D178))*180/PI()</f>
        <v>4.79029694332302</v>
      </c>
      <c r="P179" s="6" t="n">
        <f aca="false">IF(M179&lt;0,O179+180,IF(AND(M179&gt;0,L179&lt;0),O179+360,O179))</f>
        <v>184.790296943323</v>
      </c>
      <c r="Q179" s="6" t="n">
        <f aca="false">P179-1.437</f>
        <v>183.353296943323</v>
      </c>
      <c r="S179" s="6" t="n">
        <f aca="false">F179</f>
        <v>176</v>
      </c>
      <c r="T179" s="6" t="str">
        <f aca="false">G179</f>
        <v>DAV177</v>
      </c>
      <c r="U179" s="6" t="n">
        <f aca="false">H179</f>
        <v>79.4227184125211</v>
      </c>
      <c r="V179" s="6" t="n">
        <f aca="false">Q179</f>
        <v>183.353296943323</v>
      </c>
      <c r="W179" s="2" t="n">
        <f aca="false">J179</f>
        <v>-14.883439144069</v>
      </c>
    </row>
    <row r="180" customFormat="false" ht="12.8" hidden="false" customHeight="false" outlineLevel="0" collapsed="false">
      <c r="A180" s="6" t="s">
        <v>5</v>
      </c>
      <c r="B180" s="1" t="n">
        <v>178</v>
      </c>
      <c r="C180" s="2" t="n">
        <v>352873.17</v>
      </c>
      <c r="D180" s="2" t="n">
        <v>5263734.54</v>
      </c>
      <c r="E180" s="2" t="n">
        <v>1974.1</v>
      </c>
      <c r="F180" s="6" t="n">
        <f aca="false">B179</f>
        <v>177</v>
      </c>
      <c r="G180" s="7" t="str">
        <f aca="false">_xlfn.CONCAT("DAV",B180)</f>
        <v>DAV178</v>
      </c>
      <c r="H180" s="6" t="n">
        <f aca="false">SQRT((C180-C179)^2+(D180-D179)^2+(E180-E179)^2)</f>
        <v>280.741191313248</v>
      </c>
      <c r="I180" s="6" t="n">
        <f aca="false">MOD((2*180*(ATAN((C179-C180)/(D180-D179))*180/PI())/360), 360)</f>
        <v>352.373943827899</v>
      </c>
      <c r="J180" s="2" t="n">
        <f aca="false">ASIN((E180-E179)/H180)*180/PI()</f>
        <v>-23.868767021803</v>
      </c>
      <c r="L180" s="6" t="n">
        <f aca="false">C180-C179</f>
        <v>-34.070000000007</v>
      </c>
      <c r="M180" s="6" t="n">
        <f aca="false">D180-D179</f>
        <v>-254.459999999963</v>
      </c>
      <c r="N180" s="6" t="n">
        <f aca="false">(C180-C179)/(D180-D179)</f>
        <v>0.133891377819744</v>
      </c>
      <c r="O180" s="12" t="n">
        <f aca="false">ATAN((C180-C179)/(D180-D179))*180/PI()</f>
        <v>7.62605617210063</v>
      </c>
      <c r="P180" s="6" t="n">
        <f aca="false">IF(M180&lt;0,O180+180,IF(AND(M180&gt;0,L180&lt;0),O180+360,O180))</f>
        <v>187.626056172101</v>
      </c>
      <c r="Q180" s="6" t="n">
        <f aca="false">P180-1.437</f>
        <v>186.189056172101</v>
      </c>
      <c r="S180" s="6" t="n">
        <f aca="false">F180</f>
        <v>177</v>
      </c>
      <c r="T180" s="6" t="str">
        <f aca="false">G180</f>
        <v>DAV178</v>
      </c>
      <c r="U180" s="6" t="n">
        <f aca="false">H180</f>
        <v>280.741191313248</v>
      </c>
      <c r="V180" s="6" t="n">
        <f aca="false">Q180</f>
        <v>186.189056172101</v>
      </c>
      <c r="W180" s="2" t="n">
        <f aca="false">J180</f>
        <v>-23.868767021803</v>
      </c>
    </row>
    <row r="181" customFormat="false" ht="12.8" hidden="false" customHeight="false" outlineLevel="0" collapsed="false">
      <c r="A181" s="6" t="s">
        <v>5</v>
      </c>
      <c r="B181" s="1" t="n">
        <v>179</v>
      </c>
      <c r="C181" s="2" t="n">
        <v>352904.72</v>
      </c>
      <c r="D181" s="2" t="n">
        <v>5263524.56</v>
      </c>
      <c r="E181" s="2" t="n">
        <v>2002.5</v>
      </c>
      <c r="F181" s="6" t="n">
        <f aca="false">B180</f>
        <v>178</v>
      </c>
      <c r="G181" s="7" t="str">
        <f aca="false">_xlfn.CONCAT("DAV",B181)</f>
        <v>DAV179</v>
      </c>
      <c r="H181" s="6" t="n">
        <f aca="false">SQRT((C181-C180)^2+(D181-D180)^2+(E181-E180)^2)</f>
        <v>214.227829425094</v>
      </c>
      <c r="I181" s="6" t="n">
        <f aca="false">MOD((2*180*(ATAN((C180-C181)/(D181-D180))*180/PI())/360), 360)</f>
        <v>8.54490859765496</v>
      </c>
      <c r="J181" s="2" t="n">
        <f aca="false">ASIN((E181-E180)/H181)*180/PI()</f>
        <v>7.6180786669302</v>
      </c>
      <c r="L181" s="6" t="n">
        <f aca="false">C181-C180</f>
        <v>31.5499999999884</v>
      </c>
      <c r="M181" s="6" t="n">
        <f aca="false">D181-D180</f>
        <v>-209.980000000447</v>
      </c>
      <c r="N181" s="6" t="n">
        <f aca="false">(C181-C180)/(D181-D180)</f>
        <v>-0.150252404990576</v>
      </c>
      <c r="O181" s="12" t="n">
        <f aca="false">ATAN((C181-C180)/(D181-D180))*180/PI()</f>
        <v>-8.54490859765496</v>
      </c>
      <c r="P181" s="6" t="n">
        <f aca="false">IF(M181&lt;0,O181+180,IF(AND(M181&gt;0,L181&lt;0),O181+360,O181))</f>
        <v>171.455091402345</v>
      </c>
      <c r="Q181" s="6" t="n">
        <f aca="false">P181-1.437</f>
        <v>170.018091402345</v>
      </c>
      <c r="S181" s="6" t="n">
        <f aca="false">F181</f>
        <v>178</v>
      </c>
      <c r="T181" s="6" t="str">
        <f aca="false">G181</f>
        <v>DAV179</v>
      </c>
      <c r="U181" s="6" t="n">
        <f aca="false">H181</f>
        <v>214.227829425094</v>
      </c>
      <c r="V181" s="6" t="n">
        <f aca="false">Q181</f>
        <v>170.018091402345</v>
      </c>
      <c r="W181" s="2" t="n">
        <f aca="false">J181</f>
        <v>7.6180786669302</v>
      </c>
    </row>
    <row r="182" customFormat="false" ht="12.8" hidden="false" customHeight="false" outlineLevel="0" collapsed="false">
      <c r="A182" s="6" t="s">
        <v>5</v>
      </c>
      <c r="B182" s="1" t="n">
        <v>180</v>
      </c>
      <c r="C182" s="2" t="n">
        <v>352888.57</v>
      </c>
      <c r="D182" s="2" t="n">
        <v>5263360.39</v>
      </c>
      <c r="E182" s="2" t="n">
        <v>2068.1</v>
      </c>
      <c r="F182" s="6" t="n">
        <f aca="false">B181</f>
        <v>179</v>
      </c>
      <c r="G182" s="7" t="str">
        <f aca="false">_xlfn.CONCAT("DAV",B182)</f>
        <v>DAV180</v>
      </c>
      <c r="H182" s="6" t="n">
        <f aca="false">SQRT((C182-C181)^2+(D182-D181)^2+(E182-E181)^2)</f>
        <v>177.527382113223</v>
      </c>
      <c r="I182" s="6" t="n">
        <f aca="false">MOD((2*180*(ATAN((C181-C182)/(D182-D181))*180/PI())/360), 360)</f>
        <v>354.381682761436</v>
      </c>
      <c r="J182" s="2" t="n">
        <f aca="false">ASIN((E182-E181)/H182)*180/PI()</f>
        <v>21.6860458894464</v>
      </c>
      <c r="L182" s="6" t="n">
        <f aca="false">C182-C181</f>
        <v>-16.1499999999651</v>
      </c>
      <c r="M182" s="6" t="n">
        <f aca="false">D182-D181</f>
        <v>-164.169999999926</v>
      </c>
      <c r="N182" s="6" t="n">
        <f aca="false">(C182-C181)/(D182-D181)</f>
        <v>0.0983736370833429</v>
      </c>
      <c r="O182" s="12" t="n">
        <f aca="false">ATAN((C182-C181)/(D182-D181))*180/PI()</f>
        <v>5.61831723856366</v>
      </c>
      <c r="P182" s="6" t="n">
        <f aca="false">IF(M182&lt;0,O182+180,IF(AND(M182&gt;0,L182&lt;0),O182+360,O182))</f>
        <v>185.618317238564</v>
      </c>
      <c r="Q182" s="6" t="n">
        <f aca="false">P182-1.437</f>
        <v>184.181317238564</v>
      </c>
      <c r="S182" s="6" t="n">
        <f aca="false">F182</f>
        <v>179</v>
      </c>
      <c r="T182" s="6" t="str">
        <f aca="false">G182</f>
        <v>DAV180</v>
      </c>
      <c r="U182" s="6" t="n">
        <f aca="false">H182</f>
        <v>177.527382113223</v>
      </c>
      <c r="V182" s="6" t="n">
        <f aca="false">Q182</f>
        <v>184.181317238564</v>
      </c>
      <c r="W182" s="2" t="n">
        <f aca="false">J182</f>
        <v>21.6860458894464</v>
      </c>
    </row>
    <row r="183" customFormat="false" ht="12.8" hidden="false" customHeight="false" outlineLevel="0" collapsed="false">
      <c r="A183" s="6" t="s">
        <v>5</v>
      </c>
      <c r="B183" s="1" t="n">
        <v>181</v>
      </c>
      <c r="C183" s="2" t="n">
        <v>352927.33</v>
      </c>
      <c r="D183" s="2" t="n">
        <v>5263221.04</v>
      </c>
      <c r="E183" s="2" t="n">
        <v>2131.3</v>
      </c>
      <c r="F183" s="6" t="n">
        <f aca="false">B182</f>
        <v>180</v>
      </c>
      <c r="G183" s="7" t="str">
        <f aca="false">_xlfn.CONCAT("DAV",B183)</f>
        <v>DAV181</v>
      </c>
      <c r="H183" s="6" t="n">
        <f aca="false">SQRT((C183-C182)^2+(D183-D182)^2+(E183-E182)^2)</f>
        <v>157.84486085995</v>
      </c>
      <c r="I183" s="6" t="n">
        <f aca="false">MOD((2*180*(ATAN((C182-C183)/(D183-D182))*180/PI())/360), 360)</f>
        <v>15.5438308712813</v>
      </c>
      <c r="J183" s="2" t="n">
        <f aca="false">ASIN((E183-E182)/H183)*180/PI()</f>
        <v>23.6027580654239</v>
      </c>
      <c r="L183" s="6" t="n">
        <f aca="false">C183-C182</f>
        <v>38.7600000000093</v>
      </c>
      <c r="M183" s="6" t="n">
        <f aca="false">D183-D182</f>
        <v>-139.349999999627</v>
      </c>
      <c r="N183" s="6" t="n">
        <f aca="false">(C183-C182)/(D183-D182)</f>
        <v>-0.278148546825353</v>
      </c>
      <c r="O183" s="12" t="n">
        <f aca="false">ATAN((C183-C182)/(D183-D182))*180/PI()</f>
        <v>-15.5438308712813</v>
      </c>
      <c r="P183" s="6" t="n">
        <f aca="false">IF(M183&lt;0,O183+180,IF(AND(M183&gt;0,L183&lt;0),O183+360,O183))</f>
        <v>164.456169128719</v>
      </c>
      <c r="Q183" s="6" t="n">
        <f aca="false">P183-1.437</f>
        <v>163.019169128719</v>
      </c>
      <c r="S183" s="6" t="n">
        <f aca="false">F183</f>
        <v>180</v>
      </c>
      <c r="T183" s="6" t="str">
        <f aca="false">G183</f>
        <v>DAV181</v>
      </c>
      <c r="U183" s="6" t="n">
        <f aca="false">H183</f>
        <v>157.84486085995</v>
      </c>
      <c r="V183" s="6" t="n">
        <f aca="false">Q183</f>
        <v>163.019169128719</v>
      </c>
      <c r="W183" s="2" t="n">
        <f aca="false">J183</f>
        <v>23.6027580654239</v>
      </c>
    </row>
    <row r="184" customFormat="false" ht="12.8" hidden="false" customHeight="false" outlineLevel="0" collapsed="false">
      <c r="A184" s="6" t="s">
        <v>5</v>
      </c>
      <c r="B184" s="1" t="n">
        <v>182</v>
      </c>
      <c r="C184" s="2" t="n">
        <v>352909.53</v>
      </c>
      <c r="D184" s="2" t="n">
        <v>5263190</v>
      </c>
      <c r="E184" s="2" t="n">
        <v>2123.6</v>
      </c>
      <c r="F184" s="6" t="n">
        <f aca="false">B183</f>
        <v>181</v>
      </c>
      <c r="G184" s="7" t="str">
        <f aca="false">_xlfn.CONCAT("DAV",B184)</f>
        <v>DAV182</v>
      </c>
      <c r="H184" s="6" t="n">
        <f aca="false">SQRT((C184-C183)^2+(D184-D183)^2+(E184-E183)^2)</f>
        <v>36.6007049112705</v>
      </c>
      <c r="I184" s="6" t="n">
        <f aca="false">MOD((2*180*(ATAN((C183-C184)/(D184-D183))*180/PI())/360), 360)</f>
        <v>330.167729201451</v>
      </c>
      <c r="J184" s="2" t="n">
        <f aca="false">ASIN((E184-E183)/H184)*180/PI()</f>
        <v>-12.144531988201</v>
      </c>
      <c r="L184" s="6" t="n">
        <f aca="false">C184-C183</f>
        <v>-17.7999999999884</v>
      </c>
      <c r="M184" s="6" t="n">
        <f aca="false">D184-D183</f>
        <v>-31.0400000000373</v>
      </c>
      <c r="N184" s="6" t="n">
        <f aca="false">(C184-C183)/(D184-D183)</f>
        <v>0.573453608246359</v>
      </c>
      <c r="O184" s="12" t="n">
        <f aca="false">ATAN((C184-C183)/(D184-D183))*180/PI()</f>
        <v>29.8322707985486</v>
      </c>
      <c r="P184" s="6" t="n">
        <f aca="false">IF(M184&lt;0,O184+180,IF(AND(M184&gt;0,L184&lt;0),O184+360,O184))</f>
        <v>209.832270798549</v>
      </c>
      <c r="Q184" s="6" t="n">
        <f aca="false">P184-1.437</f>
        <v>208.395270798549</v>
      </c>
      <c r="S184" s="6" t="n">
        <f aca="false">F184</f>
        <v>181</v>
      </c>
      <c r="T184" s="6" t="str">
        <f aca="false">G184</f>
        <v>DAV182</v>
      </c>
      <c r="U184" s="6" t="n">
        <f aca="false">H184</f>
        <v>36.6007049112705</v>
      </c>
      <c r="V184" s="6" t="n">
        <f aca="false">Q184</f>
        <v>208.395270798549</v>
      </c>
      <c r="W184" s="2" t="n">
        <f aca="false">J184</f>
        <v>-12.144531988201</v>
      </c>
    </row>
    <row r="185" customFormat="false" ht="12.8" hidden="false" customHeight="false" outlineLevel="0" collapsed="false">
      <c r="A185" s="6" t="s">
        <v>5</v>
      </c>
      <c r="B185" s="1" t="n">
        <v>183</v>
      </c>
      <c r="C185" s="2" t="n">
        <v>352857.15</v>
      </c>
      <c r="D185" s="2" t="n">
        <v>5262996.24</v>
      </c>
      <c r="E185" s="2" t="n">
        <v>2038.9</v>
      </c>
      <c r="F185" s="6" t="n">
        <f aca="false">B184</f>
        <v>182</v>
      </c>
      <c r="G185" s="7" t="str">
        <f aca="false">_xlfn.CONCAT("DAV",B185)</f>
        <v>DAV183</v>
      </c>
      <c r="H185" s="6" t="n">
        <f aca="false">SQRT((C185-C184)^2+(D185-D184)^2+(E185-E184)^2)</f>
        <v>217.854749775886</v>
      </c>
      <c r="I185" s="6" t="n">
        <f aca="false">MOD((2*180*(ATAN((C184-C185)/(D185-D184))*180/PI())/360), 360)</f>
        <v>344.872566676772</v>
      </c>
      <c r="J185" s="2" t="n">
        <f aca="false">ASIN((E185-E184)/H185)*180/PI()</f>
        <v>-22.8793024870767</v>
      </c>
      <c r="L185" s="6" t="n">
        <f aca="false">C185-C184</f>
        <v>-52.3800000000047</v>
      </c>
      <c r="M185" s="6" t="n">
        <f aca="false">D185-D184</f>
        <v>-193.759999999776</v>
      </c>
      <c r="N185" s="6" t="n">
        <f aca="false">(C185-C184)/(D185-D184)</f>
        <v>0.270334434352111</v>
      </c>
      <c r="O185" s="12" t="n">
        <f aca="false">ATAN((C185-C184)/(D185-D184))*180/PI()</f>
        <v>15.1274333232285</v>
      </c>
      <c r="P185" s="6" t="n">
        <f aca="false">IF(M185&lt;0,O185+180,IF(AND(M185&gt;0,L185&lt;0),O185+360,O185))</f>
        <v>195.127433323229</v>
      </c>
      <c r="Q185" s="6" t="n">
        <f aca="false">P185-1.437</f>
        <v>193.690433323229</v>
      </c>
      <c r="S185" s="6" t="n">
        <f aca="false">F185</f>
        <v>182</v>
      </c>
      <c r="T185" s="6" t="str">
        <f aca="false">G185</f>
        <v>DAV183</v>
      </c>
      <c r="U185" s="6" t="n">
        <f aca="false">H185</f>
        <v>217.854749775886</v>
      </c>
      <c r="V185" s="6" t="n">
        <f aca="false">Q185</f>
        <v>193.690433323229</v>
      </c>
      <c r="W185" s="2" t="n">
        <f aca="false">J185</f>
        <v>-22.8793024870767</v>
      </c>
    </row>
    <row r="186" customFormat="false" ht="12.8" hidden="false" customHeight="false" outlineLevel="0" collapsed="false">
      <c r="A186" s="6" t="s">
        <v>5</v>
      </c>
      <c r="B186" s="1" t="n">
        <v>184</v>
      </c>
      <c r="C186" s="2" t="n">
        <v>352863.5</v>
      </c>
      <c r="D186" s="2" t="n">
        <v>5262943.71</v>
      </c>
      <c r="E186" s="2" t="n">
        <v>2054.3</v>
      </c>
      <c r="F186" s="6" t="n">
        <f aca="false">B185</f>
        <v>183</v>
      </c>
      <c r="G186" s="7" t="str">
        <f aca="false">_xlfn.CONCAT("DAV",B186)</f>
        <v>DAV184</v>
      </c>
      <c r="H186" s="6" t="n">
        <f aca="false">SQRT((C186-C185)^2+(D186-D185)^2+(E186-E185)^2)</f>
        <v>55.1079250201557</v>
      </c>
      <c r="I186" s="6" t="n">
        <f aca="false">MOD((2*180*(ATAN((C185-C186)/(D186-D185))*180/PI())/360), 360)</f>
        <v>6.89265938978475</v>
      </c>
      <c r="J186" s="2" t="n">
        <f aca="false">ASIN((E186-E185)/H186)*180/PI()</f>
        <v>16.2274795797661</v>
      </c>
      <c r="L186" s="6" t="n">
        <f aca="false">C186-C185</f>
        <v>6.34999999997672</v>
      </c>
      <c r="M186" s="6" t="n">
        <f aca="false">D186-D185</f>
        <v>-52.5300000002608</v>
      </c>
      <c r="N186" s="6" t="n">
        <f aca="false">(C186-C185)/(D186-D185)</f>
        <v>-0.120883304777179</v>
      </c>
      <c r="O186" s="12" t="n">
        <f aca="false">ATAN((C186-C185)/(D186-D185))*180/PI()</f>
        <v>-6.89265938978475</v>
      </c>
      <c r="P186" s="6" t="n">
        <f aca="false">IF(M186&lt;0,O186+180,IF(AND(M186&gt;0,L186&lt;0),O186+360,O186))</f>
        <v>173.107340610215</v>
      </c>
      <c r="Q186" s="6" t="n">
        <f aca="false">P186-1.437</f>
        <v>171.670340610215</v>
      </c>
      <c r="S186" s="6" t="n">
        <f aca="false">F186</f>
        <v>183</v>
      </c>
      <c r="T186" s="6" t="str">
        <f aca="false">G186</f>
        <v>DAV184</v>
      </c>
      <c r="U186" s="6" t="n">
        <f aca="false">H186</f>
        <v>55.1079250201557</v>
      </c>
      <c r="V186" s="6" t="n">
        <f aca="false">Q186</f>
        <v>171.670340610215</v>
      </c>
      <c r="W186" s="2" t="n">
        <f aca="false">J186</f>
        <v>16.2274795797661</v>
      </c>
    </row>
    <row r="187" customFormat="false" ht="12.8" hidden="false" customHeight="false" outlineLevel="0" collapsed="false">
      <c r="A187" s="6" t="s">
        <v>5</v>
      </c>
      <c r="B187" s="1" t="n">
        <v>185</v>
      </c>
      <c r="C187" s="2" t="n">
        <v>352915.03</v>
      </c>
      <c r="D187" s="2" t="n">
        <v>5262801.24</v>
      </c>
      <c r="E187" s="2" t="n">
        <v>2074.8</v>
      </c>
      <c r="F187" s="6" t="n">
        <f aca="false">B186</f>
        <v>184</v>
      </c>
      <c r="G187" s="7" t="str">
        <f aca="false">_xlfn.CONCAT("DAV",B187)</f>
        <v>DAV185</v>
      </c>
      <c r="H187" s="6" t="n">
        <f aca="false">SQRT((C187-C186)^2+(D187-D186)^2+(E187-E186)^2)</f>
        <v>152.883262000549</v>
      </c>
      <c r="I187" s="6" t="n">
        <f aca="false">MOD((2*180*(ATAN((C186-C187)/(D187-D186))*180/PI())/360), 360)</f>
        <v>19.8845597782112</v>
      </c>
      <c r="J187" s="2" t="n">
        <f aca="false">ASIN((E187-E186)/H187)*180/PI()</f>
        <v>7.7059582042531</v>
      </c>
      <c r="L187" s="6" t="n">
        <f aca="false">C187-C186</f>
        <v>51.5300000000279</v>
      </c>
      <c r="M187" s="6" t="n">
        <f aca="false">D187-D186</f>
        <v>-142.469999999739</v>
      </c>
      <c r="N187" s="6" t="n">
        <f aca="false">(C187-C186)/(D187-D186)</f>
        <v>-0.361690180389712</v>
      </c>
      <c r="O187" s="12" t="n">
        <f aca="false">ATAN((C187-C186)/(D187-D186))*180/PI()</f>
        <v>-19.8845597782112</v>
      </c>
      <c r="P187" s="6" t="n">
        <f aca="false">IF(M187&lt;0,O187+180,IF(AND(M187&gt;0,L187&lt;0),O187+360,O187))</f>
        <v>160.115440221789</v>
      </c>
      <c r="Q187" s="6" t="n">
        <f aca="false">P187-1.437</f>
        <v>158.678440221789</v>
      </c>
      <c r="S187" s="6" t="n">
        <f aca="false">F187</f>
        <v>184</v>
      </c>
      <c r="T187" s="6" t="str">
        <f aca="false">G187</f>
        <v>DAV185</v>
      </c>
      <c r="U187" s="6" t="n">
        <f aca="false">H187</f>
        <v>152.883262000549</v>
      </c>
      <c r="V187" s="6" t="n">
        <f aca="false">Q187</f>
        <v>158.678440221789</v>
      </c>
      <c r="W187" s="2" t="n">
        <f aca="false">J187</f>
        <v>7.7059582042531</v>
      </c>
    </row>
    <row r="188" customFormat="false" ht="12.8" hidden="false" customHeight="false" outlineLevel="0" collapsed="false">
      <c r="A188" s="6" t="s">
        <v>5</v>
      </c>
      <c r="B188" s="1" t="n">
        <v>186</v>
      </c>
      <c r="C188" s="2" t="n">
        <v>352979.46</v>
      </c>
      <c r="D188" s="2" t="n">
        <v>5262662.2</v>
      </c>
      <c r="E188" s="2" t="n">
        <v>2141.3</v>
      </c>
      <c r="F188" s="6" t="n">
        <f aca="false">B187</f>
        <v>185</v>
      </c>
      <c r="G188" s="7" t="str">
        <f aca="false">_xlfn.CONCAT("DAV",B188)</f>
        <v>DAV186</v>
      </c>
      <c r="H188" s="6" t="n">
        <f aca="false">SQRT((C188-C187)^2+(D188-D187)^2+(E188-E187)^2)</f>
        <v>167.049682729449</v>
      </c>
      <c r="I188" s="6" t="n">
        <f aca="false">MOD((2*180*(ATAN((C187-C188)/(D188-D187))*180/PI())/360), 360)</f>
        <v>24.8626209535915</v>
      </c>
      <c r="J188" s="2" t="n">
        <f aca="false">ASIN((E188-E187)/H188)*180/PI()</f>
        <v>23.458527158737</v>
      </c>
      <c r="L188" s="6" t="n">
        <f aca="false">C188-C187</f>
        <v>64.429999999993</v>
      </c>
      <c r="M188" s="6" t="n">
        <f aca="false">D188-D187</f>
        <v>-139.040000000037</v>
      </c>
      <c r="N188" s="6" t="n">
        <f aca="false">(C188-C187)/(D188-D187)</f>
        <v>-0.463391829689124</v>
      </c>
      <c r="O188" s="12" t="n">
        <f aca="false">ATAN((C188-C187)/(D188-D187))*180/PI()</f>
        <v>-24.8626209535915</v>
      </c>
      <c r="P188" s="6" t="n">
        <f aca="false">IF(M188&lt;0,O188+180,IF(AND(M188&gt;0,L188&lt;0),O188+360,O188))</f>
        <v>155.137379046408</v>
      </c>
      <c r="Q188" s="6" t="n">
        <f aca="false">P188-1.437</f>
        <v>153.700379046408</v>
      </c>
      <c r="S188" s="6" t="n">
        <f aca="false">F188</f>
        <v>185</v>
      </c>
      <c r="T188" s="6" t="str">
        <f aca="false">G188</f>
        <v>DAV186</v>
      </c>
      <c r="U188" s="6" t="n">
        <f aca="false">H188</f>
        <v>167.049682729449</v>
      </c>
      <c r="V188" s="6" t="n">
        <f aca="false">Q188</f>
        <v>153.700379046408</v>
      </c>
      <c r="W188" s="2" t="n">
        <f aca="false">J188</f>
        <v>23.458527158737</v>
      </c>
    </row>
    <row r="189" customFormat="false" ht="12.8" hidden="false" customHeight="false" outlineLevel="0" collapsed="false">
      <c r="A189" s="6" t="s">
        <v>5</v>
      </c>
      <c r="B189" s="1" t="n">
        <v>187</v>
      </c>
      <c r="C189" s="2" t="n">
        <v>353002.24</v>
      </c>
      <c r="D189" s="2" t="n">
        <v>5262459.68</v>
      </c>
      <c r="E189" s="2" t="n">
        <v>2258.9</v>
      </c>
      <c r="F189" s="6" t="n">
        <f aca="false">B188</f>
        <v>186</v>
      </c>
      <c r="G189" s="7" t="str">
        <f aca="false">_xlfn.CONCAT("DAV",B189)</f>
        <v>DAV187</v>
      </c>
      <c r="H189" s="6" t="n">
        <f aca="false">SQRT((C189-C188)^2+(D189-D188)^2+(E189-E188)^2)</f>
        <v>235.293516273175</v>
      </c>
      <c r="I189" s="6" t="n">
        <f aca="false">MOD((2*180*(ATAN((C188-C189)/(D189-D188))*180/PI())/360), 360)</f>
        <v>6.41780890429715</v>
      </c>
      <c r="J189" s="2" t="n">
        <f aca="false">ASIN((E189-E188)/H189)*180/PI()</f>
        <v>29.9868534900442</v>
      </c>
      <c r="L189" s="6" t="n">
        <f aca="false">C189-C188</f>
        <v>22.7799999999697</v>
      </c>
      <c r="M189" s="6" t="n">
        <f aca="false">D189-D188</f>
        <v>-202.520000000484</v>
      </c>
      <c r="N189" s="6" t="n">
        <f aca="false">(C189-C188)/(D189-D188)</f>
        <v>-0.112482717755853</v>
      </c>
      <c r="O189" s="12" t="n">
        <f aca="false">ATAN((C189-C188)/(D189-D188))*180/PI()</f>
        <v>-6.41780890429715</v>
      </c>
      <c r="P189" s="6" t="n">
        <f aca="false">IF(M189&lt;0,O189+180,IF(AND(M189&gt;0,L189&lt;0),O189+360,O189))</f>
        <v>173.582191095703</v>
      </c>
      <c r="Q189" s="6" t="n">
        <f aca="false">P189-1.437</f>
        <v>172.145191095703</v>
      </c>
      <c r="S189" s="6" t="n">
        <f aca="false">F189</f>
        <v>186</v>
      </c>
      <c r="T189" s="6" t="str">
        <f aca="false">G189</f>
        <v>DAV187</v>
      </c>
      <c r="U189" s="6" t="n">
        <f aca="false">H189</f>
        <v>235.293516273175</v>
      </c>
      <c r="V189" s="6" t="n">
        <f aca="false">Q189</f>
        <v>172.145191095703</v>
      </c>
      <c r="W189" s="2" t="n">
        <f aca="false">J189</f>
        <v>29.9868534900442</v>
      </c>
    </row>
    <row r="190" customFormat="false" ht="12.8" hidden="false" customHeight="false" outlineLevel="0" collapsed="false">
      <c r="A190" s="6" t="s">
        <v>5</v>
      </c>
      <c r="B190" s="1" t="n">
        <v>188</v>
      </c>
      <c r="C190" s="2" t="n">
        <v>353005.98</v>
      </c>
      <c r="D190" s="2" t="n">
        <v>5262371.55</v>
      </c>
      <c r="E190" s="2" t="n">
        <v>2268.7</v>
      </c>
      <c r="F190" s="6" t="n">
        <f aca="false">B189</f>
        <v>187</v>
      </c>
      <c r="G190" s="7" t="str">
        <f aca="false">_xlfn.CONCAT("DAV",B190)</f>
        <v>DAV188</v>
      </c>
      <c r="H190" s="6" t="n">
        <f aca="false">SQRT((C190-C189)^2+(D190-D189)^2+(E190-E189)^2)</f>
        <v>88.7520394130762</v>
      </c>
      <c r="I190" s="6" t="n">
        <f aca="false">MOD((2*180*(ATAN((C189-C190)/(D190-D189))*180/PI())/360), 360)</f>
        <v>2.43002061033136</v>
      </c>
      <c r="J190" s="2" t="n">
        <f aca="false">ASIN((E190-E189)/H190)*180/PI()</f>
        <v>6.33952716217739</v>
      </c>
      <c r="L190" s="6" t="n">
        <f aca="false">C190-C189</f>
        <v>3.73999999999069</v>
      </c>
      <c r="M190" s="6" t="n">
        <f aca="false">D190-D189</f>
        <v>-88.1299999998882</v>
      </c>
      <c r="N190" s="6" t="n">
        <f aca="false">(C190-C189)/(D190-D189)</f>
        <v>-0.0424373085214505</v>
      </c>
      <c r="O190" s="12" t="n">
        <f aca="false">ATAN((C190-C189)/(D190-D189))*180/PI()</f>
        <v>-2.43002061033136</v>
      </c>
      <c r="P190" s="6" t="n">
        <f aca="false">IF(M190&lt;0,O190+180,IF(AND(M190&gt;0,L190&lt;0),O190+360,O190))</f>
        <v>177.569979389669</v>
      </c>
      <c r="Q190" s="6" t="n">
        <f aca="false">P190-1.437</f>
        <v>176.132979389669</v>
      </c>
      <c r="S190" s="6" t="n">
        <f aca="false">F190</f>
        <v>187</v>
      </c>
      <c r="T190" s="6" t="str">
        <f aca="false">G190</f>
        <v>DAV188</v>
      </c>
      <c r="U190" s="6" t="n">
        <f aca="false">H190</f>
        <v>88.7520394130762</v>
      </c>
      <c r="V190" s="6" t="n">
        <f aca="false">Q190</f>
        <v>176.132979389669</v>
      </c>
      <c r="W190" s="2" t="n">
        <f aca="false">J190</f>
        <v>6.33952716217739</v>
      </c>
    </row>
    <row r="191" customFormat="false" ht="12.8" hidden="false" customHeight="false" outlineLevel="0" collapsed="false">
      <c r="A191" s="6" t="s">
        <v>5</v>
      </c>
      <c r="B191" s="1" t="n">
        <v>189</v>
      </c>
      <c r="C191" s="2" t="n">
        <v>352985.49</v>
      </c>
      <c r="D191" s="2" t="n">
        <v>5262174.66</v>
      </c>
      <c r="E191" s="2" t="n">
        <v>2251.5</v>
      </c>
      <c r="F191" s="6" t="n">
        <f aca="false">B190</f>
        <v>188</v>
      </c>
      <c r="G191" s="7" t="str">
        <f aca="false">_xlfn.CONCAT("DAV",B191)</f>
        <v>DAV189</v>
      </c>
      <c r="H191" s="6" t="n">
        <f aca="false">SQRT((C191-C190)^2+(D191-D190)^2+(E191-E190)^2)</f>
        <v>198.699149972685</v>
      </c>
      <c r="I191" s="6" t="n">
        <f aca="false">MOD((2*180*(ATAN((C190-C191)/(D191-D190))*180/PI())/360), 360)</f>
        <v>354.058714683543</v>
      </c>
      <c r="J191" s="2" t="n">
        <f aca="false">ASIN((E191-E190)/H191)*180/PI()</f>
        <v>-4.96591108588664</v>
      </c>
      <c r="L191" s="6" t="n">
        <f aca="false">C191-C190</f>
        <v>-20.4899999999907</v>
      </c>
      <c r="M191" s="6" t="n">
        <f aca="false">D191-D190</f>
        <v>-196.889999999665</v>
      </c>
      <c r="N191" s="6" t="n">
        <f aca="false">(C191-C190)/(D191-D190)</f>
        <v>0.104068261465923</v>
      </c>
      <c r="O191" s="12" t="n">
        <f aca="false">ATAN((C191-C190)/(D191-D190))*180/PI()</f>
        <v>5.94128531645721</v>
      </c>
      <c r="P191" s="6" t="n">
        <f aca="false">IF(M191&lt;0,O191+180,IF(AND(M191&gt;0,L191&lt;0),O191+360,O191))</f>
        <v>185.941285316457</v>
      </c>
      <c r="Q191" s="6" t="n">
        <f aca="false">P191-1.437</f>
        <v>184.504285316457</v>
      </c>
      <c r="S191" s="6" t="n">
        <f aca="false">F191</f>
        <v>188</v>
      </c>
      <c r="T191" s="6" t="str">
        <f aca="false">G191</f>
        <v>DAV189</v>
      </c>
      <c r="U191" s="6" t="n">
        <f aca="false">H191</f>
        <v>198.699149972685</v>
      </c>
      <c r="V191" s="6" t="n">
        <f aca="false">Q191</f>
        <v>184.504285316457</v>
      </c>
      <c r="W191" s="2" t="n">
        <f aca="false">J191</f>
        <v>-4.96591108588664</v>
      </c>
    </row>
    <row r="192" customFormat="false" ht="12.8" hidden="false" customHeight="false" outlineLevel="0" collapsed="false">
      <c r="A192" s="6" t="s">
        <v>5</v>
      </c>
      <c r="B192" s="1" t="n">
        <v>190</v>
      </c>
      <c r="C192" s="2" t="n">
        <v>352822.92</v>
      </c>
      <c r="D192" s="2" t="n">
        <v>5261987.43</v>
      </c>
      <c r="E192" s="2" t="n">
        <v>2236.3</v>
      </c>
      <c r="F192" s="6" t="n">
        <f aca="false">B191</f>
        <v>189</v>
      </c>
      <c r="G192" s="7" t="str">
        <f aca="false">_xlfn.CONCAT("DAV",B192)</f>
        <v>DAV190</v>
      </c>
      <c r="H192" s="6" t="n">
        <f aca="false">SQRT((C192-C191)^2+(D192-D191)^2+(E192-E191)^2)</f>
        <v>248.425276089551</v>
      </c>
      <c r="I192" s="6" t="n">
        <f aca="false">MOD((2*180*(ATAN((C191-C192)/(D192-D191))*180/PI())/360), 360)</f>
        <v>319.032533457918</v>
      </c>
      <c r="J192" s="2" t="n">
        <f aca="false">ASIN((E192-E191)/H192)*180/PI()</f>
        <v>-3.50785623932297</v>
      </c>
      <c r="L192" s="6" t="n">
        <f aca="false">C192-C191</f>
        <v>-162.570000000007</v>
      </c>
      <c r="M192" s="6" t="n">
        <f aca="false">D192-D191</f>
        <v>-187.230000000447</v>
      </c>
      <c r="N192" s="6" t="n">
        <f aca="false">(C192-C191)/(D192-D191)</f>
        <v>0.868290338084809</v>
      </c>
      <c r="O192" s="12" t="n">
        <f aca="false">ATAN((C192-C191)/(D192-D191))*180/PI()</f>
        <v>40.9674665420818</v>
      </c>
      <c r="P192" s="6" t="n">
        <f aca="false">IF(M192&lt;0,O192+180,IF(AND(M192&gt;0,L192&lt;0),O192+360,O192))</f>
        <v>220.967466542082</v>
      </c>
      <c r="Q192" s="6" t="n">
        <f aca="false">P192-1.437</f>
        <v>219.530466542082</v>
      </c>
      <c r="S192" s="6" t="n">
        <f aca="false">F192</f>
        <v>189</v>
      </c>
      <c r="T192" s="6" t="str">
        <f aca="false">G192</f>
        <v>DAV190</v>
      </c>
      <c r="U192" s="6" t="n">
        <f aca="false">H192</f>
        <v>248.425276089551</v>
      </c>
      <c r="V192" s="6" t="n">
        <f aca="false">Q192</f>
        <v>219.530466542082</v>
      </c>
      <c r="W192" s="2" t="n">
        <f aca="false">J192</f>
        <v>-3.50785623932297</v>
      </c>
    </row>
    <row r="193" customFormat="false" ht="12.8" hidden="false" customHeight="false" outlineLevel="0" collapsed="false">
      <c r="A193" s="6" t="s">
        <v>5</v>
      </c>
      <c r="B193" s="1" t="n">
        <v>191</v>
      </c>
      <c r="C193" s="2" t="n">
        <v>352941.8</v>
      </c>
      <c r="D193" s="2" t="n">
        <v>5261706.85</v>
      </c>
      <c r="E193" s="2" t="n">
        <v>2228.6</v>
      </c>
      <c r="F193" s="6" t="n">
        <f aca="false">B192</f>
        <v>190</v>
      </c>
      <c r="G193" s="7" t="str">
        <f aca="false">_xlfn.CONCAT("DAV",B193)</f>
        <v>DAV191</v>
      </c>
      <c r="H193" s="6" t="n">
        <f aca="false">SQRT((C193-C192)^2+(D193-D192)^2+(E193-E192)^2)</f>
        <v>304.822703878899</v>
      </c>
      <c r="I193" s="6" t="n">
        <f aca="false">MOD((2*180*(ATAN((C192-C193)/(D193-D192))*180/PI())/360), 360)</f>
        <v>22.9620711660831</v>
      </c>
      <c r="J193" s="2" t="n">
        <f aca="false">ASIN((E193-E192)/H193)*180/PI()</f>
        <v>-1.44747890867073</v>
      </c>
      <c r="L193" s="6" t="n">
        <f aca="false">C193-C192</f>
        <v>118.880000000005</v>
      </c>
      <c r="M193" s="6" t="n">
        <f aca="false">D193-D192</f>
        <v>-280.580000000075</v>
      </c>
      <c r="N193" s="6" t="n">
        <f aca="false">(C193-C192)/(D193-D192)</f>
        <v>-0.423693777175754</v>
      </c>
      <c r="O193" s="12" t="n">
        <f aca="false">ATAN((C193-C192)/(D193-D192))*180/PI()</f>
        <v>-22.9620711660831</v>
      </c>
      <c r="P193" s="6" t="n">
        <f aca="false">IF(M193&lt;0,O193+180,IF(AND(M193&gt;0,L193&lt;0),O193+360,O193))</f>
        <v>157.037928833917</v>
      </c>
      <c r="Q193" s="6" t="n">
        <f aca="false">P193-1.437</f>
        <v>155.600928833917</v>
      </c>
      <c r="S193" s="6" t="n">
        <f aca="false">F193</f>
        <v>190</v>
      </c>
      <c r="T193" s="6" t="str">
        <f aca="false">G193</f>
        <v>DAV191</v>
      </c>
      <c r="U193" s="6" t="n">
        <f aca="false">H193</f>
        <v>304.822703878899</v>
      </c>
      <c r="V193" s="6" t="n">
        <f aca="false">Q193</f>
        <v>155.600928833917</v>
      </c>
      <c r="W193" s="2" t="n">
        <f aca="false">J193</f>
        <v>-1.44747890867073</v>
      </c>
    </row>
    <row r="194" customFormat="false" ht="12.8" hidden="false" customHeight="false" outlineLevel="0" collapsed="false">
      <c r="A194" s="6" t="s">
        <v>5</v>
      </c>
      <c r="B194" s="1" t="n">
        <v>192</v>
      </c>
      <c r="C194" s="2" t="n">
        <v>352850.63</v>
      </c>
      <c r="D194" s="2" t="n">
        <v>5261678.37</v>
      </c>
      <c r="E194" s="2" t="n">
        <v>2214.7</v>
      </c>
      <c r="F194" s="6" t="n">
        <f aca="false">B193</f>
        <v>191</v>
      </c>
      <c r="G194" s="7" t="str">
        <f aca="false">_xlfn.CONCAT("DAV",B194)</f>
        <v>DAV192</v>
      </c>
      <c r="H194" s="6" t="n">
        <f aca="false">SQRT((C194-C193)^2+(D194-D193)^2+(E194-E193)^2)</f>
        <v>96.5209267463251</v>
      </c>
      <c r="I194" s="6" t="n">
        <f aca="false">MOD((2*180*(ATAN((C193-C194)/(D194-D193))*180/PI())/360), 360)</f>
        <v>287.347941217829</v>
      </c>
      <c r="J194" s="2" t="n">
        <f aca="false">ASIN((E194-E193)/H194)*180/PI()</f>
        <v>-8.27996749139163</v>
      </c>
      <c r="L194" s="6" t="n">
        <f aca="false">C194-C193</f>
        <v>-91.1699999999837</v>
      </c>
      <c r="M194" s="6" t="n">
        <f aca="false">D194-D193</f>
        <v>-28.4799999995157</v>
      </c>
      <c r="N194" s="6" t="n">
        <f aca="false">(C194-C193)/(D194-D193)</f>
        <v>3.20119382027858</v>
      </c>
      <c r="O194" s="12" t="n">
        <f aca="false">ATAN((C194-C193)/(D194-D193))*180/PI()</f>
        <v>72.6520587821707</v>
      </c>
      <c r="P194" s="6" t="n">
        <f aca="false">IF(M194&lt;0,O194+180,IF(AND(M194&gt;0,L194&lt;0),O194+360,O194))</f>
        <v>252.652058782171</v>
      </c>
      <c r="Q194" s="6" t="n">
        <f aca="false">P194-1.437</f>
        <v>251.215058782171</v>
      </c>
      <c r="S194" s="6" t="n">
        <f aca="false">F194</f>
        <v>191</v>
      </c>
      <c r="T194" s="6" t="str">
        <f aca="false">G194</f>
        <v>DAV192</v>
      </c>
      <c r="U194" s="6" t="n">
        <f aca="false">H194</f>
        <v>96.5209267463251</v>
      </c>
      <c r="V194" s="6" t="n">
        <f aca="false">Q194</f>
        <v>251.215058782171</v>
      </c>
      <c r="W194" s="2" t="n">
        <f aca="false">J194</f>
        <v>-8.27996749139163</v>
      </c>
    </row>
    <row r="195" customFormat="false" ht="12.8" hidden="false" customHeight="false" outlineLevel="0" collapsed="false">
      <c r="A195" s="6" t="s">
        <v>5</v>
      </c>
      <c r="B195" s="1" t="n">
        <v>193</v>
      </c>
      <c r="C195" s="2" t="n">
        <v>352841.45</v>
      </c>
      <c r="D195" s="2" t="n">
        <v>5261672.75</v>
      </c>
      <c r="E195" s="2" t="n">
        <v>2209.7</v>
      </c>
      <c r="F195" s="6" t="n">
        <f aca="false">B194</f>
        <v>192</v>
      </c>
      <c r="G195" s="7" t="str">
        <f aca="false">_xlfn.CONCAT("DAV",B195)</f>
        <v>DAV193</v>
      </c>
      <c r="H195" s="6" t="n">
        <f aca="false">SQRT((C195-C194)^2+(D195-D194)^2+(E195-E194)^2)</f>
        <v>11.8683107475802</v>
      </c>
      <c r="I195" s="6" t="n">
        <f aca="false">MOD((2*180*(ATAN((C194-C195)/(D195-D194))*180/PI())/360), 360)</f>
        <v>301.474986377067</v>
      </c>
      <c r="J195" s="2" t="n">
        <f aca="false">ASIN((E195-E194)/H195)*180/PI()</f>
        <v>-24.9160540209384</v>
      </c>
      <c r="L195" s="6" t="n">
        <f aca="false">C195-C194</f>
        <v>-9.17999999999302</v>
      </c>
      <c r="M195" s="6" t="n">
        <f aca="false">D195-D194</f>
        <v>-5.62000000011176</v>
      </c>
      <c r="N195" s="6" t="n">
        <f aca="false">(C195-C194)/(D195-D194)</f>
        <v>1.63345195726165</v>
      </c>
      <c r="O195" s="12" t="n">
        <f aca="false">ATAN((C195-C194)/(D195-D194))*180/PI()</f>
        <v>58.5250136229332</v>
      </c>
      <c r="P195" s="6" t="n">
        <f aca="false">IF(M195&lt;0,O195+180,IF(AND(M195&gt;0,L195&lt;0),O195+360,O195))</f>
        <v>238.525013622933</v>
      </c>
      <c r="Q195" s="6" t="n">
        <f aca="false">P195-1.437</f>
        <v>237.088013622933</v>
      </c>
      <c r="S195" s="6" t="n">
        <f aca="false">F195</f>
        <v>192</v>
      </c>
      <c r="T195" s="6" t="str">
        <f aca="false">G195</f>
        <v>DAV193</v>
      </c>
      <c r="U195" s="6" t="n">
        <f aca="false">H195</f>
        <v>11.8683107475802</v>
      </c>
      <c r="V195" s="6" t="n">
        <f aca="false">Q195</f>
        <v>237.088013622933</v>
      </c>
      <c r="W195" s="2" t="n">
        <f aca="false">J195</f>
        <v>-24.9160540209384</v>
      </c>
    </row>
    <row r="196" customFormat="false" ht="12.8" hidden="false" customHeight="false" outlineLevel="0" collapsed="false">
      <c r="A196" s="6" t="s">
        <v>5</v>
      </c>
      <c r="B196" s="1" t="n">
        <v>194</v>
      </c>
      <c r="C196" s="2" t="n">
        <v>352825.04</v>
      </c>
      <c r="D196" s="2" t="n">
        <v>5261660.7</v>
      </c>
      <c r="E196" s="2" t="n">
        <v>2201.7</v>
      </c>
      <c r="F196" s="6" t="n">
        <f aca="false">B195</f>
        <v>193</v>
      </c>
      <c r="G196" s="7" t="str">
        <f aca="false">_xlfn.CONCAT("DAV",B196)</f>
        <v>DAV194</v>
      </c>
      <c r="H196" s="6" t="n">
        <f aca="false">SQRT((C196-C195)^2+(D196-D195)^2+(E196-E195)^2)</f>
        <v>21.8744279924432</v>
      </c>
      <c r="I196" s="6" t="n">
        <f aca="false">MOD((2*180*(ATAN((C195-C196)/(D196-D195))*180/PI())/360), 360)</f>
        <v>306.290148762165</v>
      </c>
      <c r="J196" s="2" t="n">
        <f aca="false">ASIN((E196-E195)/H196)*180/PI()</f>
        <v>-21.4521363928855</v>
      </c>
      <c r="L196" s="6" t="n">
        <f aca="false">C196-C195</f>
        <v>-16.4100000000326</v>
      </c>
      <c r="M196" s="6" t="n">
        <f aca="false">D196-D195</f>
        <v>-12.0499999998137</v>
      </c>
      <c r="N196" s="6" t="n">
        <f aca="false">(C196-C195)/(D196-D195)</f>
        <v>1.36182572616483</v>
      </c>
      <c r="O196" s="12" t="n">
        <f aca="false">ATAN((C196-C195)/(D196-D195))*180/PI()</f>
        <v>53.7098512378348</v>
      </c>
      <c r="P196" s="6" t="n">
        <f aca="false">IF(M196&lt;0,O196+180,IF(AND(M196&gt;0,L196&lt;0),O196+360,O196))</f>
        <v>233.709851237835</v>
      </c>
      <c r="Q196" s="6" t="n">
        <f aca="false">P196-1.437</f>
        <v>232.272851237835</v>
      </c>
      <c r="S196" s="6" t="n">
        <f aca="false">F196</f>
        <v>193</v>
      </c>
      <c r="T196" s="6" t="str">
        <f aca="false">G196</f>
        <v>DAV194</v>
      </c>
      <c r="U196" s="6" t="n">
        <f aca="false">H196</f>
        <v>21.8744279924432</v>
      </c>
      <c r="V196" s="6" t="n">
        <f aca="false">Q196</f>
        <v>232.272851237835</v>
      </c>
      <c r="W196" s="2" t="n">
        <f aca="false">J196</f>
        <v>-21.4521363928855</v>
      </c>
    </row>
    <row r="197" customFormat="false" ht="12.8" hidden="false" customHeight="false" outlineLevel="0" collapsed="false">
      <c r="A197" s="6" t="s">
        <v>5</v>
      </c>
      <c r="B197" s="1" t="n">
        <v>195</v>
      </c>
      <c r="C197" s="2" t="n">
        <v>352818.02</v>
      </c>
      <c r="D197" s="2" t="n">
        <v>5261654.14</v>
      </c>
      <c r="E197" s="2" t="n">
        <v>2204.7</v>
      </c>
      <c r="F197" s="6" t="n">
        <f aca="false">B196</f>
        <v>194</v>
      </c>
      <c r="G197" s="7" t="str">
        <f aca="false">_xlfn.CONCAT("DAV",B197)</f>
        <v>DAV195</v>
      </c>
      <c r="H197" s="6" t="n">
        <f aca="false">SQRT((C197-C196)^2+(D197-D196)^2+(E197-E196)^2)</f>
        <v>10.0654855822403</v>
      </c>
      <c r="I197" s="6" t="n">
        <f aca="false">MOD((2*180*(ATAN((C196-C197)/(D197-D196))*180/PI())/360), 360)</f>
        <v>313.059942184574</v>
      </c>
      <c r="J197" s="2" t="n">
        <f aca="false">ASIN((E197-E196)/H197)*180/PI()</f>
        <v>17.3404119778738</v>
      </c>
      <c r="L197" s="6" t="n">
        <f aca="false">C197-C196</f>
        <v>-7.01999999996042</v>
      </c>
      <c r="M197" s="6" t="n">
        <f aca="false">D197-D196</f>
        <v>-6.56000000052154</v>
      </c>
      <c r="N197" s="6" t="n">
        <f aca="false">(C197-C196)/(D197-D196)</f>
        <v>1.0701219511284</v>
      </c>
      <c r="O197" s="12" t="n">
        <f aca="false">ATAN((C197-C196)/(D197-D196))*180/PI()</f>
        <v>46.9400578154262</v>
      </c>
      <c r="P197" s="6" t="n">
        <f aca="false">IF(M197&lt;0,O197+180,IF(AND(M197&gt;0,L197&lt;0),O197+360,O197))</f>
        <v>226.940057815426</v>
      </c>
      <c r="Q197" s="6" t="n">
        <f aca="false">P197-1.437</f>
        <v>225.503057815426</v>
      </c>
      <c r="S197" s="6" t="n">
        <f aca="false">F197</f>
        <v>194</v>
      </c>
      <c r="T197" s="6" t="str">
        <f aca="false">G197</f>
        <v>DAV195</v>
      </c>
      <c r="U197" s="6" t="n">
        <f aca="false">H197</f>
        <v>10.0654855822403</v>
      </c>
      <c r="V197" s="6" t="n">
        <f aca="false">Q197</f>
        <v>225.503057815426</v>
      </c>
      <c r="W197" s="2" t="n">
        <f aca="false">J197</f>
        <v>17.3404119778738</v>
      </c>
    </row>
    <row r="198" customFormat="false" ht="12.8" hidden="false" customHeight="false" outlineLevel="0" collapsed="false">
      <c r="A198" s="6" t="s">
        <v>5</v>
      </c>
      <c r="B198" s="1" t="n">
        <v>196</v>
      </c>
      <c r="C198" s="2" t="n">
        <v>352811.94</v>
      </c>
      <c r="D198" s="2" t="n">
        <v>5261647.14</v>
      </c>
      <c r="E198" s="2" t="n">
        <v>2207.2</v>
      </c>
      <c r="F198" s="6" t="n">
        <f aca="false">B197</f>
        <v>195</v>
      </c>
      <c r="G198" s="7" t="str">
        <f aca="false">_xlfn.CONCAT("DAV",B198)</f>
        <v>DAV196</v>
      </c>
      <c r="H198" s="6" t="n">
        <f aca="false">SQRT((C198-C197)^2+(D198-D197)^2+(E198-E197)^2)</f>
        <v>9.60293705072558</v>
      </c>
      <c r="I198" s="6" t="n">
        <f aca="false">MOD((2*180*(ATAN((C197-C198)/(D198-D197))*180/PI())/360), 360)</f>
        <v>319.023352318957</v>
      </c>
      <c r="J198" s="2" t="n">
        <f aca="false">ASIN((E198-E197)/H198)*180/PI()</f>
        <v>15.0900605597813</v>
      </c>
      <c r="L198" s="6" t="n">
        <f aca="false">C198-C197</f>
        <v>-6.0800000000163</v>
      </c>
      <c r="M198" s="6" t="n">
        <f aca="false">D198-D197</f>
        <v>-7</v>
      </c>
      <c r="N198" s="6" t="n">
        <f aca="false">(C198-C197)/(D198-D197)</f>
        <v>0.868571428573757</v>
      </c>
      <c r="O198" s="12" t="n">
        <f aca="false">ATAN((C198-C197)/(D198-D197))*180/PI()</f>
        <v>40.9766476810427</v>
      </c>
      <c r="P198" s="6" t="n">
        <f aca="false">IF(M198&lt;0,O198+180,IF(AND(M198&gt;0,L198&lt;0),O198+360,O198))</f>
        <v>220.976647681043</v>
      </c>
      <c r="Q198" s="6" t="n">
        <f aca="false">P198-1.437</f>
        <v>219.539647681043</v>
      </c>
      <c r="S198" s="6" t="n">
        <f aca="false">F198</f>
        <v>195</v>
      </c>
      <c r="T198" s="6" t="str">
        <f aca="false">G198</f>
        <v>DAV196</v>
      </c>
      <c r="U198" s="6" t="n">
        <f aca="false">H198</f>
        <v>9.60293705072558</v>
      </c>
      <c r="V198" s="6" t="n">
        <f aca="false">Q198</f>
        <v>219.539647681043</v>
      </c>
      <c r="W198" s="2" t="n">
        <f aca="false">J198</f>
        <v>15.0900605597813</v>
      </c>
    </row>
    <row r="199" customFormat="false" ht="12.8" hidden="false" customHeight="false" outlineLevel="0" collapsed="false">
      <c r="A199" s="6" t="s">
        <v>5</v>
      </c>
      <c r="B199" s="1" t="n">
        <v>197</v>
      </c>
      <c r="C199" s="2" t="n">
        <v>352808.59</v>
      </c>
      <c r="D199" s="2" t="n">
        <v>5261642.83</v>
      </c>
      <c r="E199" s="2" t="n">
        <v>2205.8</v>
      </c>
      <c r="F199" s="6" t="n">
        <f aca="false">B198</f>
        <v>196</v>
      </c>
      <c r="G199" s="7" t="str">
        <f aca="false">_xlfn.CONCAT("DAV",B199)</f>
        <v>DAV197</v>
      </c>
      <c r="H199" s="6" t="n">
        <f aca="false">SQRT((C199-C198)^2+(D199-D198)^2+(E199-E198)^2)</f>
        <v>5.6354769093938</v>
      </c>
      <c r="I199" s="6" t="n">
        <f aca="false">MOD((2*180*(ATAN((C198-C199)/(D199-D198))*180/PI())/360), 360)</f>
        <v>322.143427586025</v>
      </c>
      <c r="J199" s="2" t="n">
        <f aca="false">ASIN((E199-E198)/H199)*180/PI()</f>
        <v>-14.3844011425451</v>
      </c>
      <c r="L199" s="6" t="n">
        <f aca="false">C199-C198</f>
        <v>-3.34999999997672</v>
      </c>
      <c r="M199" s="6" t="n">
        <f aca="false">D199-D198</f>
        <v>-4.30999999959022</v>
      </c>
      <c r="N199" s="6" t="n">
        <f aca="false">(C199-C198)/(D199-D198)</f>
        <v>0.777262181042976</v>
      </c>
      <c r="O199" s="12" t="n">
        <f aca="false">ATAN((C199-C198)/(D199-D198))*180/PI()</f>
        <v>37.856572413975</v>
      </c>
      <c r="P199" s="6" t="n">
        <f aca="false">IF(M199&lt;0,O199+180,IF(AND(M199&gt;0,L199&lt;0),O199+360,O199))</f>
        <v>217.856572413975</v>
      </c>
      <c r="Q199" s="6" t="n">
        <f aca="false">P199-1.437</f>
        <v>216.419572413975</v>
      </c>
      <c r="S199" s="6" t="n">
        <f aca="false">F199</f>
        <v>196</v>
      </c>
      <c r="T199" s="6" t="str">
        <f aca="false">G199</f>
        <v>DAV197</v>
      </c>
      <c r="U199" s="6" t="n">
        <f aca="false">H199</f>
        <v>5.6354769093938</v>
      </c>
      <c r="V199" s="6" t="n">
        <f aca="false">Q199</f>
        <v>216.419572413975</v>
      </c>
      <c r="W199" s="2" t="n">
        <f aca="false">J199</f>
        <v>-14.3844011425451</v>
      </c>
    </row>
    <row r="200" customFormat="false" ht="12.8" hidden="false" customHeight="false" outlineLevel="0" collapsed="false">
      <c r="A200" s="6" t="s">
        <v>5</v>
      </c>
      <c r="B200" s="1" t="n">
        <v>198</v>
      </c>
      <c r="C200" s="2" t="n">
        <v>352805.77</v>
      </c>
      <c r="D200" s="2" t="n">
        <v>5261639.88</v>
      </c>
      <c r="E200" s="2" t="n">
        <v>2198.5</v>
      </c>
      <c r="F200" s="6" t="n">
        <f aca="false">B199</f>
        <v>197</v>
      </c>
      <c r="G200" s="7" t="str">
        <f aca="false">_xlfn.CONCAT("DAV",B200)</f>
        <v>DAV198</v>
      </c>
      <c r="H200" s="6" t="n">
        <f aca="false">SQRT((C200-C199)^2+(D200-D199)^2+(E200-E199)^2)</f>
        <v>8.36330676234831</v>
      </c>
      <c r="I200" s="6" t="n">
        <f aca="false">MOD((2*180*(ATAN((C199-C200)/(D200-D199))*180/PI())/360), 360)</f>
        <v>316.290674421732</v>
      </c>
      <c r="J200" s="2" t="n">
        <f aca="false">ASIN((E200-E199)/H200)*180/PI()</f>
        <v>-60.792767271196</v>
      </c>
      <c r="L200" s="6" t="n">
        <f aca="false">C200-C199</f>
        <v>-2.82000000000699</v>
      </c>
      <c r="M200" s="6" t="n">
        <f aca="false">D200-D199</f>
        <v>-2.95000000018626</v>
      </c>
      <c r="N200" s="6" t="n">
        <f aca="false">(C200-C199)/(D200-D199)</f>
        <v>0.95593220333184</v>
      </c>
      <c r="O200" s="12" t="n">
        <f aca="false">ATAN((C200-C199)/(D200-D199))*180/PI()</f>
        <v>43.7093255782682</v>
      </c>
      <c r="P200" s="6" t="n">
        <f aca="false">IF(M200&lt;0,O200+180,IF(AND(M200&gt;0,L200&lt;0),O200+360,O200))</f>
        <v>223.709325578268</v>
      </c>
      <c r="Q200" s="6" t="n">
        <f aca="false">P200-1.437</f>
        <v>222.272325578268</v>
      </c>
      <c r="S200" s="6" t="n">
        <f aca="false">F200</f>
        <v>197</v>
      </c>
      <c r="T200" s="6" t="str">
        <f aca="false">G200</f>
        <v>DAV198</v>
      </c>
      <c r="U200" s="6" t="n">
        <f aca="false">H200</f>
        <v>8.36330676234831</v>
      </c>
      <c r="V200" s="6" t="n">
        <f aca="false">Q200</f>
        <v>222.272325578268</v>
      </c>
      <c r="W200" s="2" t="n">
        <f aca="false">J200</f>
        <v>-60.792767271196</v>
      </c>
    </row>
    <row r="201" customFormat="false" ht="12.8" hidden="false" customHeight="false" outlineLevel="0" collapsed="false">
      <c r="A201" s="6" t="s">
        <v>5</v>
      </c>
      <c r="B201" s="1" t="n">
        <v>199</v>
      </c>
      <c r="C201" s="2" t="n">
        <v>352797.47</v>
      </c>
      <c r="D201" s="2" t="n">
        <v>5261633.44</v>
      </c>
      <c r="E201" s="2" t="n">
        <v>2197.3</v>
      </c>
      <c r="F201" s="6" t="n">
        <f aca="false">B200</f>
        <v>198</v>
      </c>
      <c r="G201" s="7" t="str">
        <f aca="false">_xlfn.CONCAT("DAV",B201)</f>
        <v>DAV199</v>
      </c>
      <c r="H201" s="6" t="n">
        <f aca="false">SQRT((C201-C200)^2+(D201-D200)^2+(E201-E200)^2)</f>
        <v>10.5737221447348</v>
      </c>
      <c r="I201" s="6" t="n">
        <f aca="false">MOD((2*180*(ATAN((C200-C201)/(D201-D200))*180/PI())/360), 360)</f>
        <v>307.808015828699</v>
      </c>
      <c r="J201" s="2" t="n">
        <f aca="false">ASIN((E201-E200)/H201)*180/PI()</f>
        <v>-6.51647426728879</v>
      </c>
      <c r="L201" s="6" t="n">
        <f aca="false">C201-C200</f>
        <v>-8.30000000004657</v>
      </c>
      <c r="M201" s="6" t="n">
        <f aca="false">D201-D200</f>
        <v>-6.43999999947846</v>
      </c>
      <c r="N201" s="6" t="n">
        <f aca="false">(C201-C200)/(D201-D200)</f>
        <v>1.288819875888</v>
      </c>
      <c r="O201" s="12" t="n">
        <f aca="false">ATAN((C201-C200)/(D201-D200))*180/PI()</f>
        <v>52.1919841713007</v>
      </c>
      <c r="P201" s="6" t="n">
        <f aca="false">IF(M201&lt;0,O201+180,IF(AND(M201&gt;0,L201&lt;0),O201+360,O201))</f>
        <v>232.191984171301</v>
      </c>
      <c r="Q201" s="6" t="n">
        <f aca="false">P201-1.437</f>
        <v>230.754984171301</v>
      </c>
      <c r="S201" s="6" t="n">
        <f aca="false">F201</f>
        <v>198</v>
      </c>
      <c r="T201" s="6" t="str">
        <f aca="false">G201</f>
        <v>DAV199</v>
      </c>
      <c r="U201" s="6" t="n">
        <f aca="false">H201</f>
        <v>10.5737221447348</v>
      </c>
      <c r="V201" s="6" t="n">
        <f aca="false">Q201</f>
        <v>230.754984171301</v>
      </c>
      <c r="W201" s="2" t="n">
        <f aca="false">J201</f>
        <v>-6.51647426728879</v>
      </c>
    </row>
    <row r="202" customFormat="false" ht="12.8" hidden="false" customHeight="false" outlineLevel="0" collapsed="false">
      <c r="A202" s="6" t="s">
        <v>5</v>
      </c>
      <c r="B202" s="1" t="n">
        <v>200</v>
      </c>
      <c r="C202" s="2" t="n">
        <v>352795.8</v>
      </c>
      <c r="D202" s="2" t="n">
        <v>5261632.45</v>
      </c>
      <c r="E202" s="2" t="n">
        <v>2195.2</v>
      </c>
      <c r="F202" s="6" t="n">
        <f aca="false">B201</f>
        <v>199</v>
      </c>
      <c r="G202" s="7" t="str">
        <f aca="false">_xlfn.CONCAT("DAV",B202)</f>
        <v>DAV200</v>
      </c>
      <c r="H202" s="6" t="n">
        <f aca="false">SQRT((C202-C201)^2+(D202-D201)^2+(E202-E201)^2)</f>
        <v>2.85989510303956</v>
      </c>
      <c r="I202" s="6" t="n">
        <f aca="false">MOD((2*180*(ATAN((C201-C202)/(D202-D201))*180/PI())/360), 360)</f>
        <v>300.660071504578</v>
      </c>
      <c r="J202" s="2" t="n">
        <f aca="false">ASIN((E202-E201)/H202)*180/PI()</f>
        <v>-47.2474810633753</v>
      </c>
      <c r="L202" s="6" t="n">
        <f aca="false">C202-C201</f>
        <v>-1.6699999999837</v>
      </c>
      <c r="M202" s="6" t="n">
        <f aca="false">D202-D201</f>
        <v>-0.990000000223517</v>
      </c>
      <c r="N202" s="6" t="n">
        <f aca="false">(C202-C201)/(D202-D201)</f>
        <v>1.68686868647137</v>
      </c>
      <c r="O202" s="12" t="n">
        <f aca="false">ATAN((C202-C201)/(D202-D201))*180/PI()</f>
        <v>59.3399284954225</v>
      </c>
      <c r="P202" s="6" t="n">
        <f aca="false">IF(M202&lt;0,O202+180,IF(AND(M202&gt;0,L202&lt;0),O202+360,O202))</f>
        <v>239.339928495423</v>
      </c>
      <c r="Q202" s="6" t="n">
        <f aca="false">P202-1.437</f>
        <v>237.902928495423</v>
      </c>
      <c r="S202" s="6" t="n">
        <f aca="false">F202</f>
        <v>199</v>
      </c>
      <c r="T202" s="6" t="str">
        <f aca="false">G202</f>
        <v>DAV200</v>
      </c>
      <c r="U202" s="6" t="n">
        <f aca="false">H202</f>
        <v>2.85989510303956</v>
      </c>
      <c r="V202" s="6" t="n">
        <f aca="false">Q202</f>
        <v>237.902928495423</v>
      </c>
      <c r="W202" s="2" t="n">
        <f aca="false">J202</f>
        <v>-47.2474810633753</v>
      </c>
    </row>
    <row r="203" customFormat="false" ht="12.8" hidden="false" customHeight="false" outlineLevel="0" collapsed="false">
      <c r="A203" s="6" t="s">
        <v>5</v>
      </c>
      <c r="B203" s="1" t="n">
        <v>201</v>
      </c>
      <c r="C203" s="2" t="n">
        <v>352790.99</v>
      </c>
      <c r="D203" s="2" t="n">
        <v>5261630.5</v>
      </c>
      <c r="E203" s="2" t="n">
        <v>2191.4</v>
      </c>
      <c r="F203" s="6" t="n">
        <f aca="false">B202</f>
        <v>200</v>
      </c>
      <c r="G203" s="7" t="str">
        <f aca="false">_xlfn.CONCAT("DAV",B203)</f>
        <v>DAV201</v>
      </c>
      <c r="H203" s="6" t="n">
        <f aca="false">SQRT((C203-C202)^2+(D203-D202)^2+(E203-E202)^2)</f>
        <v>6.43261999504883</v>
      </c>
      <c r="I203" s="6" t="n">
        <f aca="false">MOD((2*180*(ATAN((C202-C203)/(D203-D202))*180/PI())/360), 360)</f>
        <v>292.067899564325</v>
      </c>
      <c r="J203" s="2" t="n">
        <f aca="false">ASIN((E203-E202)/H203)*180/PI()</f>
        <v>-36.2094729190629</v>
      </c>
      <c r="L203" s="6" t="n">
        <f aca="false">C203-C202</f>
        <v>-4.80999999999767</v>
      </c>
      <c r="M203" s="6" t="n">
        <f aca="false">D203-D202</f>
        <v>-1.95000000018626</v>
      </c>
      <c r="N203" s="6" t="n">
        <f aca="false">(C203-C202)/(D203-D202)</f>
        <v>2.46666666642986</v>
      </c>
      <c r="O203" s="12" t="n">
        <f aca="false">ATAN((C203-C202)/(D203-D202))*180/PI()</f>
        <v>67.9321004356746</v>
      </c>
      <c r="P203" s="6" t="n">
        <f aca="false">IF(M203&lt;0,O203+180,IF(AND(M203&gt;0,L203&lt;0),O203+360,O203))</f>
        <v>247.932100435675</v>
      </c>
      <c r="Q203" s="6" t="n">
        <f aca="false">P203-1.437</f>
        <v>246.495100435675</v>
      </c>
      <c r="S203" s="6" t="n">
        <f aca="false">F203</f>
        <v>200</v>
      </c>
      <c r="T203" s="6" t="str">
        <f aca="false">G203</f>
        <v>DAV201</v>
      </c>
      <c r="U203" s="6" t="n">
        <f aca="false">H203</f>
        <v>6.43261999504883</v>
      </c>
      <c r="V203" s="6" t="n">
        <f aca="false">Q203</f>
        <v>246.495100435675</v>
      </c>
      <c r="W203" s="2" t="n">
        <f aca="false">J203</f>
        <v>-36.2094729190629</v>
      </c>
    </row>
    <row r="204" customFormat="false" ht="12.8" hidden="false" customHeight="false" outlineLevel="0" collapsed="false">
      <c r="A204" s="6" t="s">
        <v>5</v>
      </c>
      <c r="B204" s="1" t="n">
        <v>202</v>
      </c>
      <c r="C204" s="2" t="n">
        <v>352789.05</v>
      </c>
      <c r="D204" s="2" t="n">
        <v>5261629.35</v>
      </c>
      <c r="E204" s="2" t="n">
        <v>2192.1</v>
      </c>
      <c r="F204" s="6" t="n">
        <f aca="false">B203</f>
        <v>201</v>
      </c>
      <c r="G204" s="7" t="str">
        <f aca="false">_xlfn.CONCAT("DAV",B204)</f>
        <v>DAV202</v>
      </c>
      <c r="H204" s="6" t="n">
        <f aca="false">SQRT((C204-C203)^2+(D204-D203)^2+(E204-E203)^2)</f>
        <v>2.36137671727016</v>
      </c>
      <c r="I204" s="6" t="n">
        <f aca="false">MOD((2*180*(ATAN((C203-C204)/(D204-D203))*180/PI())/360), 360)</f>
        <v>300.658762876033</v>
      </c>
      <c r="J204" s="2" t="n">
        <f aca="false">ASIN((E204-E203)/H204)*180/PI()</f>
        <v>17.2437406840895</v>
      </c>
      <c r="L204" s="6" t="n">
        <f aca="false">C204-C203</f>
        <v>-1.94000000000233</v>
      </c>
      <c r="M204" s="6" t="n">
        <f aca="false">D204-D203</f>
        <v>-1.15000000037253</v>
      </c>
      <c r="N204" s="6" t="n">
        <f aca="false">(C204-C203)/(D204-D203)</f>
        <v>1.68695652119469</v>
      </c>
      <c r="O204" s="12" t="n">
        <f aca="false">ATAN((C204-C203)/(D204-D203))*180/PI()</f>
        <v>59.3412371239667</v>
      </c>
      <c r="P204" s="6" t="n">
        <f aca="false">IF(M204&lt;0,O204+180,IF(AND(M204&gt;0,L204&lt;0),O204+360,O204))</f>
        <v>239.341237123967</v>
      </c>
      <c r="Q204" s="6" t="n">
        <f aca="false">P204-1.437</f>
        <v>237.904237123967</v>
      </c>
      <c r="S204" s="6" t="n">
        <f aca="false">F204</f>
        <v>201</v>
      </c>
      <c r="T204" s="6" t="str">
        <f aca="false">G204</f>
        <v>DAV202</v>
      </c>
      <c r="U204" s="6" t="n">
        <f aca="false">H204</f>
        <v>2.36137671727016</v>
      </c>
      <c r="V204" s="6" t="n">
        <f aca="false">Q204</f>
        <v>237.904237123967</v>
      </c>
      <c r="W204" s="2" t="n">
        <f aca="false">J204</f>
        <v>17.2437406840895</v>
      </c>
    </row>
    <row r="205" customFormat="false" ht="12.8" hidden="false" customHeight="false" outlineLevel="0" collapsed="false">
      <c r="A205" s="6" t="s">
        <v>5</v>
      </c>
      <c r="B205" s="1" t="n">
        <v>203</v>
      </c>
      <c r="C205" s="2" t="n">
        <v>352786.82</v>
      </c>
      <c r="D205" s="2" t="n">
        <v>5261627.15</v>
      </c>
      <c r="E205" s="2" t="n">
        <v>2190.6</v>
      </c>
      <c r="F205" s="6" t="n">
        <f aca="false">B204</f>
        <v>202</v>
      </c>
      <c r="G205" s="7" t="str">
        <f aca="false">_xlfn.CONCAT("DAV",B205)</f>
        <v>DAV203</v>
      </c>
      <c r="H205" s="6" t="n">
        <f aca="false">SQRT((C205-C204)^2+(D205-D204)^2+(E205-E204)^2)</f>
        <v>3.47316858166123</v>
      </c>
      <c r="I205" s="6" t="n">
        <f aca="false">MOD((2*180*(ATAN((C204-C205)/(D205-D204))*180/PI())/360), 360)</f>
        <v>314.611998385525</v>
      </c>
      <c r="J205" s="2" t="n">
        <f aca="false">ASIN((E205-E204)/H205)*180/PI()</f>
        <v>-25.5870744174648</v>
      </c>
      <c r="L205" s="6" t="n">
        <f aca="false">C205-C204</f>
        <v>-2.22999999998137</v>
      </c>
      <c r="M205" s="6" t="n">
        <f aca="false">D205-D204</f>
        <v>-2.19999999925494</v>
      </c>
      <c r="N205" s="6" t="n">
        <f aca="false">(C205-C204)/(D205-D204)</f>
        <v>1.01363636397118</v>
      </c>
      <c r="O205" s="12" t="n">
        <f aca="false">ATAN((C205-C204)/(D205-D204))*180/PI()</f>
        <v>45.3880016144754</v>
      </c>
      <c r="P205" s="6" t="n">
        <f aca="false">IF(M205&lt;0,O205+180,IF(AND(M205&gt;0,L205&lt;0),O205+360,O205))</f>
        <v>225.388001614475</v>
      </c>
      <c r="Q205" s="6" t="n">
        <f aca="false">P205-1.437</f>
        <v>223.951001614475</v>
      </c>
      <c r="S205" s="6" t="n">
        <f aca="false">F205</f>
        <v>202</v>
      </c>
      <c r="T205" s="6" t="str">
        <f aca="false">G205</f>
        <v>DAV203</v>
      </c>
      <c r="U205" s="6" t="n">
        <f aca="false">H205</f>
        <v>3.47316858166123</v>
      </c>
      <c r="V205" s="6" t="n">
        <f aca="false">Q205</f>
        <v>223.951001614475</v>
      </c>
      <c r="W205" s="2" t="n">
        <f aca="false">J205</f>
        <v>-25.5870744174648</v>
      </c>
    </row>
    <row r="206" customFormat="false" ht="12.8" hidden="false" customHeight="false" outlineLevel="0" collapsed="false">
      <c r="A206" s="6" t="s">
        <v>5</v>
      </c>
      <c r="B206" s="1" t="n">
        <v>204</v>
      </c>
      <c r="C206" s="2" t="n">
        <v>352763.99</v>
      </c>
      <c r="D206" s="2" t="n">
        <v>5261598.66</v>
      </c>
      <c r="E206" s="2" t="n">
        <v>2158.2</v>
      </c>
      <c r="F206" s="6" t="n">
        <f aca="false">B205</f>
        <v>203</v>
      </c>
      <c r="G206" s="7" t="str">
        <f aca="false">_xlfn.CONCAT("DAV",B206)</f>
        <v>DAV204</v>
      </c>
      <c r="H206" s="6" t="n">
        <f aca="false">SQRT((C206-C205)^2+(D206-D205)^2+(E206-E205)^2)</f>
        <v>48.8123857234359</v>
      </c>
      <c r="I206" s="6" t="n">
        <f aca="false">MOD((2*180*(ATAN((C205-C206)/(D206-D205))*180/PI())/360), 360)</f>
        <v>321.293623770277</v>
      </c>
      <c r="J206" s="2" t="n">
        <f aca="false">ASIN((E206-E205)/H206)*180/PI()</f>
        <v>-41.5877226096346</v>
      </c>
      <c r="L206" s="6" t="n">
        <f aca="false">C206-C205</f>
        <v>-22.8300000000163</v>
      </c>
      <c r="M206" s="6" t="n">
        <f aca="false">D206-D205</f>
        <v>-28.4900000002235</v>
      </c>
      <c r="N206" s="6" t="n">
        <f aca="false">(C206-C205)/(D206-D205)</f>
        <v>0.801333801328087</v>
      </c>
      <c r="O206" s="12" t="n">
        <f aca="false">ATAN((C206-C205)/(D206-D205))*180/PI()</f>
        <v>38.7063762297233</v>
      </c>
      <c r="P206" s="6" t="n">
        <f aca="false">IF(M206&lt;0,O206+180,IF(AND(M206&gt;0,L206&lt;0),O206+360,O206))</f>
        <v>218.706376229723</v>
      </c>
      <c r="Q206" s="6" t="n">
        <f aca="false">P206-1.437</f>
        <v>217.269376229723</v>
      </c>
      <c r="S206" s="6" t="n">
        <f aca="false">F206</f>
        <v>203</v>
      </c>
      <c r="T206" s="6" t="str">
        <f aca="false">G206</f>
        <v>DAV204</v>
      </c>
      <c r="U206" s="6" t="n">
        <f aca="false">H206</f>
        <v>48.8123857234359</v>
      </c>
      <c r="V206" s="6" t="n">
        <f aca="false">Q206</f>
        <v>217.269376229723</v>
      </c>
      <c r="W206" s="2" t="n">
        <f aca="false">J206</f>
        <v>-41.5877226096346</v>
      </c>
    </row>
    <row r="207" customFormat="false" ht="12.8" hidden="false" customHeight="false" outlineLevel="0" collapsed="false">
      <c r="A207" s="6" t="s">
        <v>5</v>
      </c>
      <c r="B207" s="1" t="n">
        <v>205</v>
      </c>
      <c r="C207" s="2" t="n">
        <v>352761.7</v>
      </c>
      <c r="D207" s="2" t="n">
        <v>5261596.66</v>
      </c>
      <c r="E207" s="2" t="n">
        <v>2155.8</v>
      </c>
      <c r="F207" s="6" t="n">
        <f aca="false">B206</f>
        <v>204</v>
      </c>
      <c r="G207" s="7" t="str">
        <f aca="false">_xlfn.CONCAT("DAV",B207)</f>
        <v>DAV205</v>
      </c>
      <c r="H207" s="6" t="n">
        <f aca="false">SQRT((C207-C206)^2+(D207-D206)^2+(E207-E206)^2)</f>
        <v>3.87351261775437</v>
      </c>
      <c r="I207" s="6" t="n">
        <f aca="false">MOD((2*180*(ATAN((C206-C207)/(D207-D206))*180/PI())/360), 360)</f>
        <v>311.132742217586</v>
      </c>
      <c r="J207" s="2" t="n">
        <f aca="false">ASIN((E207-E206)/H207)*180/PI()</f>
        <v>-38.2863947040922</v>
      </c>
      <c r="L207" s="6" t="n">
        <f aca="false">C207-C206</f>
        <v>-2.28999999997905</v>
      </c>
      <c r="M207" s="6" t="n">
        <f aca="false">D207-D206</f>
        <v>-2</v>
      </c>
      <c r="N207" s="6" t="n">
        <f aca="false">(C207-C206)/(D207-D206)</f>
        <v>1.14499999998952</v>
      </c>
      <c r="O207" s="12" t="n">
        <f aca="false">ATAN((C207-C206)/(D207-D206))*180/PI()</f>
        <v>48.8672577824136</v>
      </c>
      <c r="P207" s="6" t="n">
        <f aca="false">IF(M207&lt;0,O207+180,IF(AND(M207&gt;0,L207&lt;0),O207+360,O207))</f>
        <v>228.867257782414</v>
      </c>
      <c r="Q207" s="6" t="n">
        <f aca="false">P207-1.437</f>
        <v>227.430257782414</v>
      </c>
      <c r="S207" s="6" t="n">
        <f aca="false">F207</f>
        <v>204</v>
      </c>
      <c r="T207" s="6" t="str">
        <f aca="false">G207</f>
        <v>DAV205</v>
      </c>
      <c r="U207" s="6" t="n">
        <f aca="false">H207</f>
        <v>3.87351261775437</v>
      </c>
      <c r="V207" s="6" t="n">
        <f aca="false">Q207</f>
        <v>227.430257782414</v>
      </c>
      <c r="W207" s="2" t="n">
        <f aca="false">J207</f>
        <v>-38.2863947040922</v>
      </c>
    </row>
    <row r="208" customFormat="false" ht="12.8" hidden="false" customHeight="false" outlineLevel="0" collapsed="false">
      <c r="A208" s="6" t="s">
        <v>5</v>
      </c>
      <c r="B208" s="1" t="n">
        <v>206</v>
      </c>
      <c r="C208" s="2" t="n">
        <v>352759.08</v>
      </c>
      <c r="D208" s="2" t="n">
        <v>5261595</v>
      </c>
      <c r="E208" s="2" t="n">
        <v>2154.8</v>
      </c>
      <c r="F208" s="6" t="n">
        <f aca="false">B207</f>
        <v>205</v>
      </c>
      <c r="G208" s="7" t="str">
        <f aca="false">_xlfn.CONCAT("DAV",B208)</f>
        <v>DAV206</v>
      </c>
      <c r="H208" s="6" t="n">
        <f aca="false">SQRT((C208-C207)^2+(D208-D207)^2+(E208-E207)^2)</f>
        <v>3.25883414743223</v>
      </c>
      <c r="I208" s="6" t="n">
        <f aca="false">MOD((2*180*(ATAN((C207-C208)/(D208-D207))*180/PI())/360), 360)</f>
        <v>302.357847674481</v>
      </c>
      <c r="J208" s="2" t="n">
        <f aca="false">ASIN((E208-E207)/H208)*180/PI()</f>
        <v>-17.869993012768</v>
      </c>
      <c r="L208" s="6" t="n">
        <f aca="false">C208-C207</f>
        <v>-2.61999999999534</v>
      </c>
      <c r="M208" s="6" t="n">
        <f aca="false">D208-D207</f>
        <v>-1.66000000014901</v>
      </c>
      <c r="N208" s="6" t="n">
        <f aca="false">(C208-C207)/(D208-D207)</f>
        <v>1.57831325286756</v>
      </c>
      <c r="O208" s="12" t="n">
        <f aca="false">ATAN((C208-C207)/(D208-D207))*180/PI()</f>
        <v>57.6421523255186</v>
      </c>
      <c r="P208" s="6" t="n">
        <f aca="false">IF(M208&lt;0,O208+180,IF(AND(M208&gt;0,L208&lt;0),O208+360,O208))</f>
        <v>237.642152325519</v>
      </c>
      <c r="Q208" s="6" t="n">
        <f aca="false">P208-1.437</f>
        <v>236.205152325519</v>
      </c>
      <c r="S208" s="6" t="n">
        <f aca="false">F208</f>
        <v>205</v>
      </c>
      <c r="T208" s="6" t="str">
        <f aca="false">G208</f>
        <v>DAV206</v>
      </c>
      <c r="U208" s="6" t="n">
        <f aca="false">H208</f>
        <v>3.25883414743223</v>
      </c>
      <c r="V208" s="6" t="n">
        <f aca="false">Q208</f>
        <v>236.205152325519</v>
      </c>
      <c r="W208" s="2" t="n">
        <f aca="false">J208</f>
        <v>-17.869993012768</v>
      </c>
    </row>
    <row r="209" customFormat="false" ht="12.8" hidden="false" customHeight="false" outlineLevel="0" collapsed="false">
      <c r="A209" s="6" t="s">
        <v>5</v>
      </c>
      <c r="B209" s="1" t="n">
        <v>207</v>
      </c>
      <c r="C209" s="2" t="n">
        <v>352753.35</v>
      </c>
      <c r="D209" s="2" t="n">
        <v>5261593.2</v>
      </c>
      <c r="E209" s="2" t="n">
        <v>2155.1</v>
      </c>
      <c r="F209" s="6" t="n">
        <f aca="false">B208</f>
        <v>206</v>
      </c>
      <c r="G209" s="7" t="str">
        <f aca="false">_xlfn.CONCAT("DAV",B209)</f>
        <v>DAV207</v>
      </c>
      <c r="H209" s="6" t="n">
        <f aca="false">SQRT((C209-C208)^2+(D209-D208)^2+(E209-E208)^2)</f>
        <v>6.01355967790982</v>
      </c>
      <c r="I209" s="6" t="n">
        <f aca="false">MOD((2*180*(ATAN((C208-C209)/(D209-D208))*180/PI())/360), 360)</f>
        <v>287.439387770805</v>
      </c>
      <c r="J209" s="2" t="n">
        <f aca="false">ASIN((E209-E208)/H209)*180/PI()</f>
        <v>2.85951624030892</v>
      </c>
      <c r="L209" s="6" t="n">
        <f aca="false">C209-C208</f>
        <v>-5.73000000003958</v>
      </c>
      <c r="M209" s="6" t="n">
        <f aca="false">D209-D208</f>
        <v>-1.79999999981374</v>
      </c>
      <c r="N209" s="6" t="n">
        <f aca="false">(C209-C208)/(D209-D208)</f>
        <v>3.18333333368474</v>
      </c>
      <c r="O209" s="12" t="n">
        <f aca="false">ATAN((C209-C208)/(D209-D208))*180/PI()</f>
        <v>72.5606122291945</v>
      </c>
      <c r="P209" s="6" t="n">
        <f aca="false">IF(M209&lt;0,O209+180,IF(AND(M209&gt;0,L209&lt;0),O209+360,O209))</f>
        <v>252.560612229195</v>
      </c>
      <c r="Q209" s="6" t="n">
        <f aca="false">P209-1.437</f>
        <v>251.123612229195</v>
      </c>
      <c r="S209" s="6" t="n">
        <f aca="false">F209</f>
        <v>206</v>
      </c>
      <c r="T209" s="6" t="str">
        <f aca="false">G209</f>
        <v>DAV207</v>
      </c>
      <c r="U209" s="6" t="n">
        <f aca="false">H209</f>
        <v>6.01355967790982</v>
      </c>
      <c r="V209" s="6" t="n">
        <f aca="false">Q209</f>
        <v>251.123612229195</v>
      </c>
      <c r="W209" s="2" t="n">
        <f aca="false">J209</f>
        <v>2.85951624030892</v>
      </c>
    </row>
    <row r="210" customFormat="false" ht="12.8" hidden="false" customHeight="false" outlineLevel="0" collapsed="false">
      <c r="A210" s="6" t="s">
        <v>5</v>
      </c>
      <c r="B210" s="1" t="n">
        <v>208</v>
      </c>
      <c r="C210" s="2" t="n">
        <v>352681.37</v>
      </c>
      <c r="D210" s="2" t="n">
        <v>5261580.45</v>
      </c>
      <c r="E210" s="2" t="n">
        <v>2138.2</v>
      </c>
      <c r="F210" s="6" t="n">
        <f aca="false">B209</f>
        <v>207</v>
      </c>
      <c r="G210" s="7" t="str">
        <f aca="false">_xlfn.CONCAT("DAV",B210)</f>
        <v>DAV208</v>
      </c>
      <c r="H210" s="6" t="n">
        <f aca="false">SQRT((C210-C209)^2+(D210-D209)^2+(E210-E209)^2)</f>
        <v>75.0286138749566</v>
      </c>
      <c r="I210" s="6" t="n">
        <f aca="false">MOD((2*180*(ATAN((C209-C210)/(D210-D209))*180/PI())/360), 360)</f>
        <v>280.044757047865</v>
      </c>
      <c r="J210" s="2" t="n">
        <f aca="false">ASIN((E210-E209)/H210)*180/PI()</f>
        <v>-13.0174264367804</v>
      </c>
      <c r="L210" s="6" t="n">
        <f aca="false">C210-C209</f>
        <v>-71.9799999999814</v>
      </c>
      <c r="M210" s="6" t="n">
        <f aca="false">D210-D209</f>
        <v>-12.75</v>
      </c>
      <c r="N210" s="6" t="n">
        <f aca="false">(C210-C209)/(D210-D209)</f>
        <v>5.64549019607697</v>
      </c>
      <c r="O210" s="12" t="n">
        <f aca="false">ATAN((C210-C209)/(D210-D209))*180/PI()</f>
        <v>79.9552429521346</v>
      </c>
      <c r="P210" s="6" t="n">
        <f aca="false">IF(M210&lt;0,O210+180,IF(AND(M210&gt;0,L210&lt;0),O210+360,O210))</f>
        <v>259.955242952135</v>
      </c>
      <c r="Q210" s="6" t="n">
        <f aca="false">P210-1.437</f>
        <v>258.518242952135</v>
      </c>
      <c r="S210" s="6" t="n">
        <f aca="false">F210</f>
        <v>207</v>
      </c>
      <c r="T210" s="6" t="str">
        <f aca="false">G210</f>
        <v>DAV208</v>
      </c>
      <c r="U210" s="6" t="n">
        <f aca="false">H210</f>
        <v>75.0286138749566</v>
      </c>
      <c r="V210" s="6" t="n">
        <f aca="false">Q210</f>
        <v>258.518242952135</v>
      </c>
      <c r="W210" s="2" t="n">
        <f aca="false">J210</f>
        <v>-13.0174264367804</v>
      </c>
    </row>
    <row r="211" customFormat="false" ht="12.8" hidden="false" customHeight="false" outlineLevel="0" collapsed="false">
      <c r="A211" s="6" t="s">
        <v>5</v>
      </c>
      <c r="B211" s="1" t="n">
        <v>209</v>
      </c>
      <c r="C211" s="2" t="n">
        <v>352603.75</v>
      </c>
      <c r="D211" s="2" t="n">
        <v>5261492.75</v>
      </c>
      <c r="E211" s="2" t="n">
        <v>2066.7</v>
      </c>
      <c r="F211" s="6" t="n">
        <f aca="false">B210</f>
        <v>208</v>
      </c>
      <c r="G211" s="7" t="str">
        <f aca="false">_xlfn.CONCAT("DAV",B211)</f>
        <v>DAV209</v>
      </c>
      <c r="H211" s="6" t="n">
        <f aca="false">SQRT((C211-C210)^2+(D211-D210)^2+(E211-E210)^2)</f>
        <v>137.216633102667</v>
      </c>
      <c r="I211" s="6" t="n">
        <f aca="false">MOD((2*180*(ATAN((C210-C211)/(D211-D210))*180/PI())/360), 360)</f>
        <v>318.489156471096</v>
      </c>
      <c r="J211" s="2" t="n">
        <f aca="false">ASIN((E211-E210)/H211)*180/PI()</f>
        <v>-31.4043111768703</v>
      </c>
      <c r="L211" s="6" t="n">
        <f aca="false">C211-C210</f>
        <v>-77.6199999999953</v>
      </c>
      <c r="M211" s="6" t="n">
        <f aca="false">D211-D210</f>
        <v>-87.7000000001863</v>
      </c>
      <c r="N211" s="6" t="n">
        <f aca="false">(C211-C210)/(D211-D210)</f>
        <v>0.885062713795103</v>
      </c>
      <c r="O211" s="12" t="n">
        <f aca="false">ATAN((C211-C210)/(D211-D210))*180/PI()</f>
        <v>41.5108435289043</v>
      </c>
      <c r="P211" s="6" t="n">
        <f aca="false">IF(M211&lt;0,O211+180,IF(AND(M211&gt;0,L211&lt;0),O211+360,O211))</f>
        <v>221.510843528904</v>
      </c>
      <c r="Q211" s="6" t="n">
        <f aca="false">P211-1.437</f>
        <v>220.073843528904</v>
      </c>
      <c r="S211" s="6" t="n">
        <f aca="false">F211</f>
        <v>208</v>
      </c>
      <c r="T211" s="6" t="str">
        <f aca="false">G211</f>
        <v>DAV209</v>
      </c>
      <c r="U211" s="6" t="n">
        <f aca="false">H211</f>
        <v>137.216633102667</v>
      </c>
      <c r="V211" s="6" t="n">
        <f aca="false">Q211</f>
        <v>220.073843528904</v>
      </c>
      <c r="W211" s="2" t="n">
        <f aca="false">J211</f>
        <v>-31.4043111768703</v>
      </c>
    </row>
    <row r="212" customFormat="false" ht="12.8" hidden="false" customHeight="false" outlineLevel="0" collapsed="false">
      <c r="A212" s="6" t="s">
        <v>5</v>
      </c>
      <c r="B212" s="1" t="n">
        <v>210</v>
      </c>
      <c r="C212" s="2" t="n">
        <v>352596.88</v>
      </c>
      <c r="D212" s="2" t="n">
        <v>5261487.07</v>
      </c>
      <c r="E212" s="2" t="n">
        <v>2064.3</v>
      </c>
      <c r="F212" s="6" t="n">
        <f aca="false">B211</f>
        <v>209</v>
      </c>
      <c r="G212" s="7" t="str">
        <f aca="false">_xlfn.CONCAT("DAV",B212)</f>
        <v>DAV210</v>
      </c>
      <c r="H212" s="6" t="n">
        <f aca="false">SQRT((C212-C211)^2+(D212-D211)^2+(E212-E211)^2)</f>
        <v>9.23143000821372</v>
      </c>
      <c r="I212" s="6" t="n">
        <f aca="false">MOD((2*180*(ATAN((C211-C212)/(D212-D211))*180/PI())/360), 360)</f>
        <v>309.58336794643</v>
      </c>
      <c r="J212" s="2" t="n">
        <f aca="false">ASIN((E212-E211)/H212)*180/PI()</f>
        <v>-15.0689578629966</v>
      </c>
      <c r="L212" s="6" t="n">
        <f aca="false">C212-C211</f>
        <v>-6.86999999999534</v>
      </c>
      <c r="M212" s="6" t="n">
        <f aca="false">D212-D211</f>
        <v>-5.67999999970198</v>
      </c>
      <c r="N212" s="6" t="n">
        <f aca="false">(C212-C211)/(D212-D211)</f>
        <v>1.20950704231616</v>
      </c>
      <c r="O212" s="12" t="n">
        <f aca="false">ATAN((C212-C211)/(D212-D211))*180/PI()</f>
        <v>50.4166320535699</v>
      </c>
      <c r="P212" s="6" t="n">
        <f aca="false">IF(M212&lt;0,O212+180,IF(AND(M212&gt;0,L212&lt;0),O212+360,O212))</f>
        <v>230.41663205357</v>
      </c>
      <c r="Q212" s="6" t="n">
        <f aca="false">P212-1.437</f>
        <v>228.97963205357</v>
      </c>
      <c r="S212" s="6" t="n">
        <f aca="false">F212</f>
        <v>209</v>
      </c>
      <c r="T212" s="6" t="str">
        <f aca="false">G212</f>
        <v>DAV210</v>
      </c>
      <c r="U212" s="6" t="n">
        <f aca="false">H212</f>
        <v>9.23143000821372</v>
      </c>
      <c r="V212" s="6" t="n">
        <f aca="false">Q212</f>
        <v>228.97963205357</v>
      </c>
      <c r="W212" s="2" t="n">
        <f aca="false">J212</f>
        <v>-15.0689578629966</v>
      </c>
    </row>
    <row r="213" customFormat="false" ht="12.8" hidden="false" customHeight="false" outlineLevel="0" collapsed="false">
      <c r="A213" s="6" t="s">
        <v>5</v>
      </c>
      <c r="B213" s="1" t="n">
        <v>211</v>
      </c>
      <c r="C213" s="2" t="n">
        <v>352589.41</v>
      </c>
      <c r="D213" s="2" t="n">
        <v>5261478.37</v>
      </c>
      <c r="E213" s="2" t="n">
        <v>2062.4</v>
      </c>
      <c r="F213" s="6" t="n">
        <f aca="false">B212</f>
        <v>210</v>
      </c>
      <c r="G213" s="7" t="str">
        <f aca="false">_xlfn.CONCAT("DAV",B213)</f>
        <v>DAV211</v>
      </c>
      <c r="H213" s="6" t="n">
        <f aca="false">SQRT((C213-C212)^2+(D213-D212)^2+(E213-E212)^2)</f>
        <v>11.6232912724277</v>
      </c>
      <c r="I213" s="6" t="n">
        <f aca="false">MOD((2*180*(ATAN((C212-C213)/(D213-D212))*180/PI())/360), 360)</f>
        <v>319.349929164506</v>
      </c>
      <c r="J213" s="2" t="n">
        <f aca="false">ASIN((E213-E212)/H213)*180/PI()</f>
        <v>-9.40806826197972</v>
      </c>
      <c r="L213" s="6" t="n">
        <f aca="false">C213-C212</f>
        <v>-7.47000000003027</v>
      </c>
      <c r="M213" s="6" t="n">
        <f aca="false">D213-D212</f>
        <v>-8.70000000018627</v>
      </c>
      <c r="N213" s="6" t="n">
        <f aca="false">(C213-C212)/(D213-D212)</f>
        <v>0.858620689640269</v>
      </c>
      <c r="O213" s="12" t="n">
        <f aca="false">ATAN((C213-C212)/(D213-D212))*180/PI()</f>
        <v>40.6500708354936</v>
      </c>
      <c r="P213" s="6" t="n">
        <f aca="false">IF(M213&lt;0,O213+180,IF(AND(M213&gt;0,L213&lt;0),O213+360,O213))</f>
        <v>220.650070835494</v>
      </c>
      <c r="Q213" s="6" t="n">
        <f aca="false">P213-1.437</f>
        <v>219.213070835494</v>
      </c>
      <c r="S213" s="6" t="n">
        <f aca="false">F213</f>
        <v>210</v>
      </c>
      <c r="T213" s="6" t="str">
        <f aca="false">G213</f>
        <v>DAV211</v>
      </c>
      <c r="U213" s="6" t="n">
        <f aca="false">H213</f>
        <v>11.6232912724277</v>
      </c>
      <c r="V213" s="6" t="n">
        <f aca="false">Q213</f>
        <v>219.213070835494</v>
      </c>
      <c r="W213" s="2" t="n">
        <f aca="false">J213</f>
        <v>-9.40806826197972</v>
      </c>
    </row>
    <row r="214" customFormat="false" ht="12.8" hidden="false" customHeight="false" outlineLevel="0" collapsed="false">
      <c r="A214" s="6" t="s">
        <v>5</v>
      </c>
      <c r="B214" s="1" t="n">
        <v>212</v>
      </c>
      <c r="C214" s="2" t="n">
        <v>352587.12</v>
      </c>
      <c r="D214" s="2" t="n">
        <v>5261476.56</v>
      </c>
      <c r="E214" s="2" t="n">
        <v>2062.3</v>
      </c>
      <c r="F214" s="6" t="n">
        <f aca="false">B213</f>
        <v>211</v>
      </c>
      <c r="G214" s="7" t="str">
        <f aca="false">_xlfn.CONCAT("DAV",B214)</f>
        <v>DAV212</v>
      </c>
      <c r="H214" s="6" t="n">
        <f aca="false">SQRT((C214-C213)^2+(D214-D213)^2+(E214-E213)^2)</f>
        <v>2.920650612756</v>
      </c>
      <c r="I214" s="6" t="n">
        <f aca="false">MOD((2*180*(ATAN((C213-C214)/(D214-D213))*180/PI())/360), 360)</f>
        <v>308.322597830245</v>
      </c>
      <c r="J214" s="2" t="n">
        <f aca="false">ASIN((E214-E213)/H214)*180/PI()</f>
        <v>-1.96213062476455</v>
      </c>
      <c r="L214" s="6" t="n">
        <f aca="false">C214-C213</f>
        <v>-2.28999999997905</v>
      </c>
      <c r="M214" s="6" t="n">
        <f aca="false">D214-D213</f>
        <v>-1.81000000052154</v>
      </c>
      <c r="N214" s="6" t="n">
        <f aca="false">(C214-C213)/(D214-D213)</f>
        <v>1.26519336978961</v>
      </c>
      <c r="O214" s="12" t="n">
        <f aca="false">ATAN((C214-C213)/(D214-D213))*180/PI()</f>
        <v>51.6774021697547</v>
      </c>
      <c r="P214" s="6" t="n">
        <f aca="false">IF(M214&lt;0,O214+180,IF(AND(M214&gt;0,L214&lt;0),O214+360,O214))</f>
        <v>231.677402169755</v>
      </c>
      <c r="Q214" s="6" t="n">
        <f aca="false">P214-1.437</f>
        <v>230.240402169755</v>
      </c>
      <c r="S214" s="6" t="n">
        <f aca="false">F214</f>
        <v>211</v>
      </c>
      <c r="T214" s="6" t="str">
        <f aca="false">G214</f>
        <v>DAV212</v>
      </c>
      <c r="U214" s="6" t="n">
        <f aca="false">H214</f>
        <v>2.920650612756</v>
      </c>
      <c r="V214" s="6" t="n">
        <f aca="false">Q214</f>
        <v>230.240402169755</v>
      </c>
      <c r="W214" s="2" t="n">
        <f aca="false">J214</f>
        <v>-1.96213062476455</v>
      </c>
    </row>
    <row r="215" customFormat="false" ht="12.8" hidden="false" customHeight="false" outlineLevel="0" collapsed="false">
      <c r="A215" s="6" t="s">
        <v>5</v>
      </c>
      <c r="B215" s="1" t="n">
        <v>213</v>
      </c>
      <c r="C215" s="2" t="n">
        <v>352583.77</v>
      </c>
      <c r="D215" s="2" t="n">
        <v>5261474.39</v>
      </c>
      <c r="E215" s="2" t="n">
        <v>2063.1</v>
      </c>
      <c r="F215" s="6" t="n">
        <f aca="false">B214</f>
        <v>212</v>
      </c>
      <c r="G215" s="7" t="str">
        <f aca="false">_xlfn.CONCAT("DAV",B215)</f>
        <v>DAV213</v>
      </c>
      <c r="H215" s="6" t="n">
        <f aca="false">SQRT((C215-C214)^2+(D215-D214)^2+(E215-E214)^2)</f>
        <v>4.07079844742038</v>
      </c>
      <c r="I215" s="6" t="n">
        <f aca="false">MOD((2*180*(ATAN((C214-C215)/(D215-D214))*180/PI())/360), 360)</f>
        <v>302.933600148124</v>
      </c>
      <c r="J215" s="2" t="n">
        <f aca="false">ASIN((E215-E214)/H215)*180/PI()</f>
        <v>11.3336274766872</v>
      </c>
      <c r="L215" s="6" t="n">
        <f aca="false">C215-C214</f>
        <v>-3.34999999997672</v>
      </c>
      <c r="M215" s="6" t="n">
        <f aca="false">D215-D214</f>
        <v>-2.16999999992549</v>
      </c>
      <c r="N215" s="6" t="n">
        <f aca="false">(C215-C214)/(D215-D214)</f>
        <v>1.54377880188559</v>
      </c>
      <c r="O215" s="12" t="n">
        <f aca="false">ATAN((C215-C214)/(D215-D214))*180/PI()</f>
        <v>57.0663998518756</v>
      </c>
      <c r="P215" s="6" t="n">
        <f aca="false">IF(M215&lt;0,O215+180,IF(AND(M215&gt;0,L215&lt;0),O215+360,O215))</f>
        <v>237.066399851876</v>
      </c>
      <c r="Q215" s="6" t="n">
        <f aca="false">P215-1.437</f>
        <v>235.629399851876</v>
      </c>
      <c r="S215" s="6" t="n">
        <f aca="false">F215</f>
        <v>212</v>
      </c>
      <c r="T215" s="6" t="str">
        <f aca="false">G215</f>
        <v>DAV213</v>
      </c>
      <c r="U215" s="6" t="n">
        <f aca="false">H215</f>
        <v>4.07079844742038</v>
      </c>
      <c r="V215" s="6" t="n">
        <f aca="false">Q215</f>
        <v>235.629399851876</v>
      </c>
      <c r="W215" s="2" t="n">
        <f aca="false">J215</f>
        <v>11.3336274766872</v>
      </c>
    </row>
    <row r="216" customFormat="false" ht="12.8" hidden="false" customHeight="false" outlineLevel="0" collapsed="false">
      <c r="A216" s="6" t="s">
        <v>5</v>
      </c>
      <c r="B216" s="1" t="n">
        <v>214</v>
      </c>
      <c r="C216" s="2" t="n">
        <v>352575.32</v>
      </c>
      <c r="D216" s="2" t="n">
        <v>5261472.05</v>
      </c>
      <c r="E216" s="2" t="n">
        <v>2066.9</v>
      </c>
      <c r="F216" s="6" t="n">
        <f aca="false">B215</f>
        <v>213</v>
      </c>
      <c r="G216" s="7" t="str">
        <f aca="false">_xlfn.CONCAT("DAV",B216)</f>
        <v>DAV214</v>
      </c>
      <c r="H216" s="6" t="n">
        <f aca="false">SQRT((C216-C215)^2+(D216-D215)^2+(E216-E215)^2)</f>
        <v>9.5560504393552</v>
      </c>
      <c r="I216" s="6" t="n">
        <f aca="false">MOD((2*180*(ATAN((C215-C216)/(D216-D215))*180/PI())/360), 360)</f>
        <v>285.47863816446</v>
      </c>
      <c r="J216" s="2" t="n">
        <f aca="false">ASIN((E216-E215)/H216)*180/PI()</f>
        <v>23.4315893904259</v>
      </c>
      <c r="L216" s="6" t="n">
        <f aca="false">C216-C215</f>
        <v>-8.45000000001164</v>
      </c>
      <c r="M216" s="6" t="n">
        <f aca="false">D216-D215</f>
        <v>-2.33999999985099</v>
      </c>
      <c r="N216" s="6" t="n">
        <f aca="false">(C216-C215)/(D216-D215)</f>
        <v>3.61111111134604</v>
      </c>
      <c r="O216" s="12" t="n">
        <f aca="false">ATAN((C216-C215)/(D216-D215))*180/PI()</f>
        <v>74.5213618355404</v>
      </c>
      <c r="P216" s="6" t="n">
        <f aca="false">IF(M216&lt;0,O216+180,IF(AND(M216&gt;0,L216&lt;0),O216+360,O216))</f>
        <v>254.52136183554</v>
      </c>
      <c r="Q216" s="6" t="n">
        <f aca="false">P216-1.437</f>
        <v>253.08436183554</v>
      </c>
      <c r="S216" s="6" t="n">
        <f aca="false">F216</f>
        <v>213</v>
      </c>
      <c r="T216" s="6" t="str">
        <f aca="false">G216</f>
        <v>DAV214</v>
      </c>
      <c r="U216" s="6" t="n">
        <f aca="false">H216</f>
        <v>9.5560504393552</v>
      </c>
      <c r="V216" s="6" t="n">
        <f aca="false">Q216</f>
        <v>253.08436183554</v>
      </c>
      <c r="W216" s="2" t="n">
        <f aca="false">J216</f>
        <v>23.4315893904259</v>
      </c>
    </row>
    <row r="217" customFormat="false" ht="12.8" hidden="false" customHeight="false" outlineLevel="0" collapsed="false">
      <c r="A217" s="6" t="s">
        <v>5</v>
      </c>
      <c r="B217" s="1" t="n">
        <v>215</v>
      </c>
      <c r="C217" s="2" t="n">
        <v>352572.5</v>
      </c>
      <c r="D217" s="2" t="n">
        <v>5261470.06</v>
      </c>
      <c r="E217" s="2" t="n">
        <v>2069.4</v>
      </c>
      <c r="F217" s="6" t="n">
        <f aca="false">B216</f>
        <v>214</v>
      </c>
      <c r="G217" s="7" t="str">
        <f aca="false">_xlfn.CONCAT("DAV",B217)</f>
        <v>DAV215</v>
      </c>
      <c r="H217" s="6" t="n">
        <f aca="false">SQRT((C217-C216)^2+(D217-D216)^2+(E217-E216)^2)</f>
        <v>4.261748467581</v>
      </c>
      <c r="I217" s="6" t="n">
        <f aca="false">MOD((2*180*(ATAN((C216-C217)/(D217-D216))*180/PI())/360), 360)</f>
        <v>305.209615279826</v>
      </c>
      <c r="J217" s="2" t="n">
        <f aca="false">ASIN((E217-E216)/H217)*180/PI()</f>
        <v>35.9170718928513</v>
      </c>
      <c r="L217" s="6" t="n">
        <f aca="false">C217-C216</f>
        <v>-2.82000000000699</v>
      </c>
      <c r="M217" s="6" t="n">
        <f aca="false">D217-D216</f>
        <v>-1.99000000022352</v>
      </c>
      <c r="N217" s="6" t="n">
        <f aca="false">(C217-C216)/(D217-D216)</f>
        <v>1.41708542698002</v>
      </c>
      <c r="O217" s="12" t="n">
        <f aca="false">ATAN((C217-C216)/(D217-D216))*180/PI()</f>
        <v>54.790384720174</v>
      </c>
      <c r="P217" s="6" t="n">
        <f aca="false">IF(M217&lt;0,O217+180,IF(AND(M217&gt;0,L217&lt;0),O217+360,O217))</f>
        <v>234.790384720174</v>
      </c>
      <c r="Q217" s="6" t="n">
        <f aca="false">P217-1.437</f>
        <v>233.353384720174</v>
      </c>
      <c r="S217" s="6" t="n">
        <f aca="false">F217</f>
        <v>214</v>
      </c>
      <c r="T217" s="6" t="str">
        <f aca="false">G217</f>
        <v>DAV215</v>
      </c>
      <c r="U217" s="6" t="n">
        <f aca="false">H217</f>
        <v>4.261748467581</v>
      </c>
      <c r="V217" s="6" t="n">
        <f aca="false">Q217</f>
        <v>233.353384720174</v>
      </c>
      <c r="W217" s="2" t="n">
        <f aca="false">J217</f>
        <v>35.9170718928513</v>
      </c>
    </row>
    <row r="218" customFormat="false" ht="12.8" hidden="false" customHeight="false" outlineLevel="0" collapsed="false">
      <c r="A218" s="6" t="s">
        <v>5</v>
      </c>
      <c r="B218" s="1" t="n">
        <v>216</v>
      </c>
      <c r="C218" s="2" t="n">
        <v>352571.35</v>
      </c>
      <c r="D218" s="2" t="n">
        <v>5261469.03</v>
      </c>
      <c r="E218" s="2" t="n">
        <v>2070.3</v>
      </c>
      <c r="F218" s="6" t="n">
        <f aca="false">B217</f>
        <v>215</v>
      </c>
      <c r="G218" s="7" t="str">
        <f aca="false">_xlfn.CONCAT("DAV",B218)</f>
        <v>DAV216</v>
      </c>
      <c r="H218" s="6" t="n">
        <f aca="false">SQRT((C218-C217)^2+(D218-D217)^2+(E218-E217)^2)</f>
        <v>1.78700867336238</v>
      </c>
      <c r="I218" s="6" t="n">
        <f aca="false">MOD((2*180*(ATAN((C217-C218)/(D218-D217))*180/PI())/360), 360)</f>
        <v>311.849283567618</v>
      </c>
      <c r="J218" s="2" t="n">
        <f aca="false">ASIN((E218-E217)/H218)*180/PI()</f>
        <v>30.2407782743011</v>
      </c>
      <c r="L218" s="6" t="n">
        <f aca="false">C218-C217</f>
        <v>-1.15000000002328</v>
      </c>
      <c r="M218" s="6" t="n">
        <f aca="false">D218-D217</f>
        <v>-1.02999999932945</v>
      </c>
      <c r="N218" s="6" t="n">
        <f aca="false">(C218-C217)/(D218-D217)</f>
        <v>1.11650485511841</v>
      </c>
      <c r="O218" s="12" t="n">
        <f aca="false">ATAN((C218-C217)/(D218-D217))*180/PI()</f>
        <v>48.150716432382</v>
      </c>
      <c r="P218" s="6" t="n">
        <f aca="false">IF(M218&lt;0,O218+180,IF(AND(M218&gt;0,L218&lt;0),O218+360,O218))</f>
        <v>228.150716432382</v>
      </c>
      <c r="Q218" s="6" t="n">
        <f aca="false">P218-1.437</f>
        <v>226.713716432382</v>
      </c>
      <c r="S218" s="6" t="n">
        <f aca="false">F218</f>
        <v>215</v>
      </c>
      <c r="T218" s="6" t="str">
        <f aca="false">G218</f>
        <v>DAV216</v>
      </c>
      <c r="U218" s="6" t="n">
        <f aca="false">H218</f>
        <v>1.78700867336238</v>
      </c>
      <c r="V218" s="6" t="n">
        <f aca="false">Q218</f>
        <v>226.713716432382</v>
      </c>
      <c r="W218" s="2" t="n">
        <f aca="false">J218</f>
        <v>30.2407782743011</v>
      </c>
    </row>
    <row r="219" customFormat="false" ht="12.8" hidden="false" customHeight="false" outlineLevel="0" collapsed="false">
      <c r="A219" s="6" t="s">
        <v>5</v>
      </c>
      <c r="B219" s="1" t="n">
        <v>217</v>
      </c>
      <c r="C219" s="2" t="n">
        <v>352570.25</v>
      </c>
      <c r="D219" s="2" t="n">
        <v>5261467.07</v>
      </c>
      <c r="E219" s="2" t="n">
        <v>2070.7</v>
      </c>
      <c r="F219" s="6" t="n">
        <f aca="false">B218</f>
        <v>216</v>
      </c>
      <c r="G219" s="7" t="str">
        <f aca="false">_xlfn.CONCAT("DAV",B219)</f>
        <v>DAV217</v>
      </c>
      <c r="H219" s="6" t="n">
        <f aca="false">SQRT((C219-C218)^2+(D219-D218)^2+(E219-E218)^2)</f>
        <v>2.28289290151826</v>
      </c>
      <c r="I219" s="6" t="n">
        <f aca="false">MOD((2*180*(ATAN((C218-C219)/(D219-D218))*180/PI())/360), 360)</f>
        <v>330.697792517914</v>
      </c>
      <c r="J219" s="2" t="n">
        <f aca="false">ASIN((E219-E218)/H219)*180/PI()</f>
        <v>10.0912444619199</v>
      </c>
      <c r="L219" s="6" t="n">
        <f aca="false">C219-C218</f>
        <v>-1.09999999997672</v>
      </c>
      <c r="M219" s="6" t="n">
        <f aca="false">D219-D218</f>
        <v>-1.95999999996275</v>
      </c>
      <c r="N219" s="6" t="n">
        <f aca="false">(C219-C218)/(D219-D218)</f>
        <v>0.561224489794706</v>
      </c>
      <c r="O219" s="12" t="n">
        <f aca="false">ATAN((C219-C218)/(D219-D218))*180/PI()</f>
        <v>29.3022074820859</v>
      </c>
      <c r="P219" s="6" t="n">
        <f aca="false">IF(M219&lt;0,O219+180,IF(AND(M219&gt;0,L219&lt;0),O219+360,O219))</f>
        <v>209.302207482086</v>
      </c>
      <c r="Q219" s="6" t="n">
        <f aca="false">P219-1.437</f>
        <v>207.865207482086</v>
      </c>
      <c r="S219" s="6" t="n">
        <f aca="false">F219</f>
        <v>216</v>
      </c>
      <c r="T219" s="6" t="str">
        <f aca="false">G219</f>
        <v>DAV217</v>
      </c>
      <c r="U219" s="6" t="n">
        <f aca="false">H219</f>
        <v>2.28289290151826</v>
      </c>
      <c r="V219" s="6" t="n">
        <f aca="false">Q219</f>
        <v>207.865207482086</v>
      </c>
      <c r="W219" s="2" t="n">
        <f aca="false">J219</f>
        <v>10.0912444619199</v>
      </c>
    </row>
    <row r="220" customFormat="false" ht="12.8" hidden="false" customHeight="false" outlineLevel="0" collapsed="false">
      <c r="A220" s="6" t="s">
        <v>5</v>
      </c>
      <c r="B220" s="1" t="n">
        <v>218</v>
      </c>
      <c r="C220" s="2" t="n">
        <v>352569.25</v>
      </c>
      <c r="D220" s="2" t="n">
        <v>5261463.52</v>
      </c>
      <c r="E220" s="2" t="n">
        <v>2073.8</v>
      </c>
      <c r="F220" s="6" t="n">
        <f aca="false">B219</f>
        <v>217</v>
      </c>
      <c r="G220" s="7" t="str">
        <f aca="false">_xlfn.CONCAT("DAV",B220)</f>
        <v>DAV218</v>
      </c>
      <c r="H220" s="6" t="n">
        <f aca="false">SQRT((C220-C219)^2+(D220-D219)^2+(E220-E219)^2)</f>
        <v>4.81793524295337</v>
      </c>
      <c r="I220" s="6" t="n">
        <f aca="false">MOD((2*180*(ATAN((C219-C220)/(D220-D219))*180/PI())/360), 360)</f>
        <v>344.267995218031</v>
      </c>
      <c r="J220" s="2" t="n">
        <f aca="false">ASIN((E220-E219)/H220)*180/PI()</f>
        <v>40.0480007935866</v>
      </c>
      <c r="L220" s="6" t="n">
        <f aca="false">C220-C219</f>
        <v>-1</v>
      </c>
      <c r="M220" s="6" t="n">
        <f aca="false">D220-D219</f>
        <v>-3.55000000074506</v>
      </c>
      <c r="N220" s="6" t="n">
        <f aca="false">(C220-C219)/(D220-D219)</f>
        <v>0.281690140785951</v>
      </c>
      <c r="O220" s="12" t="n">
        <f aca="false">ATAN((C220-C219)/(D220-D219))*180/PI()</f>
        <v>15.732004781969</v>
      </c>
      <c r="P220" s="6" t="n">
        <f aca="false">IF(M220&lt;0,O220+180,IF(AND(M220&gt;0,L220&lt;0),O220+360,O220))</f>
        <v>195.732004781969</v>
      </c>
      <c r="Q220" s="6" t="n">
        <f aca="false">P220-1.437</f>
        <v>194.295004781969</v>
      </c>
      <c r="S220" s="6" t="n">
        <f aca="false">F220</f>
        <v>217</v>
      </c>
      <c r="T220" s="6" t="str">
        <f aca="false">G220</f>
        <v>DAV218</v>
      </c>
      <c r="U220" s="6" t="n">
        <f aca="false">H220</f>
        <v>4.81793524295337</v>
      </c>
      <c r="V220" s="6" t="n">
        <f aca="false">Q220</f>
        <v>194.295004781969</v>
      </c>
      <c r="W220" s="2" t="n">
        <f aca="false">J220</f>
        <v>40.0480007935866</v>
      </c>
    </row>
    <row r="221" customFormat="false" ht="12.8" hidden="false" customHeight="false" outlineLevel="0" collapsed="false">
      <c r="A221" s="6" t="s">
        <v>5</v>
      </c>
      <c r="B221" s="1" t="n">
        <v>219</v>
      </c>
      <c r="C221" s="2" t="n">
        <v>352568.08</v>
      </c>
      <c r="D221" s="2" t="n">
        <v>5261461.23</v>
      </c>
      <c r="E221" s="2" t="n">
        <v>2076.7</v>
      </c>
      <c r="F221" s="6" t="n">
        <f aca="false">B220</f>
        <v>218</v>
      </c>
      <c r="G221" s="7" t="str">
        <f aca="false">_xlfn.CONCAT("DAV",B221)</f>
        <v>DAV219</v>
      </c>
      <c r="H221" s="6" t="n">
        <f aca="false">SQRT((C221-C220)^2+(D221-D220)^2+(E221-E220)^2)</f>
        <v>3.87595149555111</v>
      </c>
      <c r="I221" s="6" t="n">
        <f aca="false">MOD((2*180*(ATAN((C220-C221)/(D221-D220))*180/PI())/360), 360)</f>
        <v>332.936737201569</v>
      </c>
      <c r="J221" s="2" t="n">
        <f aca="false">ASIN((E221-E220)/H221)*180/PI()</f>
        <v>48.4349876599827</v>
      </c>
      <c r="L221" s="6" t="n">
        <f aca="false">C221-C220</f>
        <v>-1.1699999999837</v>
      </c>
      <c r="M221" s="6" t="n">
        <f aca="false">D221-D220</f>
        <v>-2.28999999910593</v>
      </c>
      <c r="N221" s="6" t="n">
        <f aca="false">(C221-C220)/(D221-D220)</f>
        <v>0.510917030760043</v>
      </c>
      <c r="O221" s="12" t="n">
        <f aca="false">ATAN((C221-C220)/(D221-D220))*180/PI()</f>
        <v>27.0632627984315</v>
      </c>
      <c r="P221" s="6" t="n">
        <f aca="false">IF(M221&lt;0,O221+180,IF(AND(M221&gt;0,L221&lt;0),O221+360,O221))</f>
        <v>207.063262798431</v>
      </c>
      <c r="Q221" s="6" t="n">
        <f aca="false">P221-1.437</f>
        <v>205.626262798431</v>
      </c>
      <c r="S221" s="6" t="n">
        <f aca="false">F221</f>
        <v>218</v>
      </c>
      <c r="T221" s="6" t="str">
        <f aca="false">G221</f>
        <v>DAV219</v>
      </c>
      <c r="U221" s="6" t="n">
        <f aca="false">H221</f>
        <v>3.87595149555111</v>
      </c>
      <c r="V221" s="6" t="n">
        <f aca="false">Q221</f>
        <v>205.626262798431</v>
      </c>
      <c r="W221" s="2" t="n">
        <f aca="false">J221</f>
        <v>48.4349876599827</v>
      </c>
    </row>
    <row r="222" customFormat="false" ht="12.8" hidden="false" customHeight="false" outlineLevel="0" collapsed="false">
      <c r="A222" s="6" t="s">
        <v>5</v>
      </c>
      <c r="B222" s="1" t="n">
        <v>220</v>
      </c>
      <c r="C222" s="2" t="n">
        <v>352563.17</v>
      </c>
      <c r="D222" s="2" t="n">
        <v>5261454.19</v>
      </c>
      <c r="E222" s="2" t="n">
        <v>2085.9</v>
      </c>
      <c r="F222" s="6" t="n">
        <f aca="false">B221</f>
        <v>219</v>
      </c>
      <c r="G222" s="7" t="str">
        <f aca="false">_xlfn.CONCAT("DAV",B222)</f>
        <v>DAV220</v>
      </c>
      <c r="H222" s="6" t="n">
        <f aca="false">SQRT((C222-C221)^2+(D222-D221)^2+(E222-E221)^2)</f>
        <v>12.5821182636649</v>
      </c>
      <c r="I222" s="6" t="n">
        <f aca="false">MOD((2*180*(ATAN((C221-C222)/(D222-D221))*180/PI())/360), 360)</f>
        <v>325.106416664679</v>
      </c>
      <c r="J222" s="2" t="n">
        <f aca="false">ASIN((E222-E221)/H222)*180/PI()</f>
        <v>46.9867892835963</v>
      </c>
      <c r="L222" s="6" t="n">
        <f aca="false">C222-C221</f>
        <v>-4.9100000000326</v>
      </c>
      <c r="M222" s="6" t="n">
        <f aca="false">D222-D221</f>
        <v>-7.04000000003725</v>
      </c>
      <c r="N222" s="6" t="n">
        <f aca="false">(C222-C221)/(D222-D221)</f>
        <v>0.697443181819121</v>
      </c>
      <c r="O222" s="12" t="n">
        <f aca="false">ATAN((C222-C221)/(D222-D221))*180/PI()</f>
        <v>34.893583335321</v>
      </c>
      <c r="P222" s="6" t="n">
        <f aca="false">IF(M222&lt;0,O222+180,IF(AND(M222&gt;0,L222&lt;0),O222+360,O222))</f>
        <v>214.893583335321</v>
      </c>
      <c r="Q222" s="6" t="n">
        <f aca="false">P222-1.437</f>
        <v>213.456583335321</v>
      </c>
      <c r="S222" s="6" t="n">
        <f aca="false">F222</f>
        <v>219</v>
      </c>
      <c r="T222" s="6" t="str">
        <f aca="false">G222</f>
        <v>DAV220</v>
      </c>
      <c r="U222" s="6" t="n">
        <f aca="false">H222</f>
        <v>12.5821182636649</v>
      </c>
      <c r="V222" s="6" t="n">
        <f aca="false">Q222</f>
        <v>213.456583335321</v>
      </c>
      <c r="W222" s="2" t="n">
        <f aca="false">J222</f>
        <v>46.9867892835963</v>
      </c>
    </row>
    <row r="223" customFormat="false" ht="12.8" hidden="false" customHeight="false" outlineLevel="0" collapsed="false">
      <c r="A223" s="6" t="s">
        <v>5</v>
      </c>
      <c r="B223" s="1" t="n">
        <v>221</v>
      </c>
      <c r="C223" s="2" t="n">
        <v>352562.26</v>
      </c>
      <c r="D223" s="2" t="n">
        <v>5261451.89</v>
      </c>
      <c r="E223" s="2" t="n">
        <v>2090</v>
      </c>
      <c r="F223" s="6" t="n">
        <f aca="false">B222</f>
        <v>220</v>
      </c>
      <c r="G223" s="7" t="str">
        <f aca="false">_xlfn.CONCAT("DAV",B223)</f>
        <v>DAV221</v>
      </c>
      <c r="H223" s="6" t="n">
        <f aca="false">SQRT((C223-C222)^2+(D223-D222)^2+(E223-E222)^2)</f>
        <v>4.78832956294572</v>
      </c>
      <c r="I223" s="6" t="n">
        <f aca="false">MOD((2*180*(ATAN((C222-C223)/(D223-D222))*180/PI())/360), 360)</f>
        <v>338.413663757799</v>
      </c>
      <c r="J223" s="2" t="n">
        <f aca="false">ASIN((E223-E222)/H223)*180/PI()</f>
        <v>58.8979384553051</v>
      </c>
      <c r="L223" s="6" t="n">
        <f aca="false">C223-C222</f>
        <v>-0.909999999974389</v>
      </c>
      <c r="M223" s="6" t="n">
        <f aca="false">D223-D222</f>
        <v>-2.30000000074506</v>
      </c>
      <c r="N223" s="6" t="n">
        <f aca="false">(C223-C222)/(D223-D222)</f>
        <v>0.395652173773741</v>
      </c>
      <c r="O223" s="12" t="n">
        <f aca="false">ATAN((C223-C222)/(D223-D222))*180/PI()</f>
        <v>21.5863362422006</v>
      </c>
      <c r="P223" s="6" t="n">
        <f aca="false">IF(M223&lt;0,O223+180,IF(AND(M223&gt;0,L223&lt;0),O223+360,O223))</f>
        <v>201.586336242201</v>
      </c>
      <c r="Q223" s="6" t="n">
        <f aca="false">P223-1.437</f>
        <v>200.149336242201</v>
      </c>
      <c r="S223" s="6" t="n">
        <f aca="false">F223</f>
        <v>220</v>
      </c>
      <c r="T223" s="6" t="str">
        <f aca="false">G223</f>
        <v>DAV221</v>
      </c>
      <c r="U223" s="6" t="n">
        <f aca="false">H223</f>
        <v>4.78832956294572</v>
      </c>
      <c r="V223" s="6" t="n">
        <f aca="false">Q223</f>
        <v>200.149336242201</v>
      </c>
      <c r="W223" s="2" t="n">
        <f aca="false">J223</f>
        <v>58.8979384553051</v>
      </c>
    </row>
    <row r="224" customFormat="false" ht="12.8" hidden="false" customHeight="false" outlineLevel="0" collapsed="false">
      <c r="A224" s="6" t="s">
        <v>5</v>
      </c>
      <c r="B224" s="1" t="n">
        <v>222</v>
      </c>
      <c r="C224" s="2" t="n">
        <v>352559.65</v>
      </c>
      <c r="D224" s="2" t="n">
        <v>5261444.34</v>
      </c>
      <c r="E224" s="2" t="n">
        <v>2096.7</v>
      </c>
      <c r="F224" s="6" t="n">
        <f aca="false">B223</f>
        <v>221</v>
      </c>
      <c r="G224" s="7" t="str">
        <f aca="false">_xlfn.CONCAT("DAV",B224)</f>
        <v>DAV222</v>
      </c>
      <c r="H224" s="6" t="n">
        <f aca="false">SQRT((C224-C223)^2+(D224-D223)^2+(E224-E223)^2)</f>
        <v>10.4261498165484</v>
      </c>
      <c r="I224" s="6" t="n">
        <f aca="false">MOD((2*180*(ATAN((C223-C224)/(D224-D223))*180/PI())/360), 360)</f>
        <v>340.929969575532</v>
      </c>
      <c r="J224" s="2" t="n">
        <f aca="false">ASIN((E224-E223)/H224)*180/PI()</f>
        <v>39.9870890984868</v>
      </c>
      <c r="L224" s="6" t="n">
        <f aca="false">C224-C223</f>
        <v>-2.60999999998603</v>
      </c>
      <c r="M224" s="6" t="n">
        <f aca="false">D224-D223</f>
        <v>-7.54999999981374</v>
      </c>
      <c r="N224" s="6" t="n">
        <f aca="false">(C224-C223)/(D224-D223)</f>
        <v>0.345695364245089</v>
      </c>
      <c r="O224" s="12" t="n">
        <f aca="false">ATAN((C224-C223)/(D224-D223))*180/PI()</f>
        <v>19.0700304244683</v>
      </c>
      <c r="P224" s="6" t="n">
        <f aca="false">IF(M224&lt;0,O224+180,IF(AND(M224&gt;0,L224&lt;0),O224+360,O224))</f>
        <v>199.070030424468</v>
      </c>
      <c r="Q224" s="6" t="n">
        <f aca="false">P224-1.437</f>
        <v>197.633030424468</v>
      </c>
      <c r="S224" s="6" t="n">
        <f aca="false">F224</f>
        <v>221</v>
      </c>
      <c r="T224" s="6" t="str">
        <f aca="false">G224</f>
        <v>DAV222</v>
      </c>
      <c r="U224" s="6" t="n">
        <f aca="false">H224</f>
        <v>10.4261498165484</v>
      </c>
      <c r="V224" s="6" t="n">
        <f aca="false">Q224</f>
        <v>197.633030424468</v>
      </c>
      <c r="W224" s="2" t="n">
        <f aca="false">J224</f>
        <v>39.9870890984868</v>
      </c>
    </row>
    <row r="225" customFormat="false" ht="12.8" hidden="false" customHeight="false" outlineLevel="0" collapsed="false">
      <c r="A225" s="6" t="s">
        <v>5</v>
      </c>
      <c r="B225" s="1" t="n">
        <v>223</v>
      </c>
      <c r="C225" s="2" t="n">
        <v>352558.15</v>
      </c>
      <c r="D225" s="2" t="n">
        <v>5261436.37</v>
      </c>
      <c r="E225" s="2" t="n">
        <v>2107.6</v>
      </c>
      <c r="F225" s="6" t="n">
        <f aca="false">B224</f>
        <v>222</v>
      </c>
      <c r="G225" s="7" t="str">
        <f aca="false">_xlfn.CONCAT("DAV",B225)</f>
        <v>DAV223</v>
      </c>
      <c r="H225" s="6" t="n">
        <f aca="false">SQRT((C225-C224)^2+(D225-D224)^2+(E225-E224)^2)</f>
        <v>13.5860553508311</v>
      </c>
      <c r="I225" s="6" t="n">
        <f aca="false">MOD((2*180*(ATAN((C224-C225)/(D225-D224))*180/PI())/360), 360)</f>
        <v>349.34128534343</v>
      </c>
      <c r="J225" s="2" t="n">
        <f aca="false">ASIN((E225-E224)/H225)*180/PI()</f>
        <v>53.3496494488081</v>
      </c>
      <c r="L225" s="6" t="n">
        <f aca="false">C225-C224</f>
        <v>-1.5</v>
      </c>
      <c r="M225" s="6" t="n">
        <f aca="false">D225-D224</f>
        <v>-7.96999999973923</v>
      </c>
      <c r="N225" s="6" t="n">
        <f aca="false">(C225-C224)/(D225-D224)</f>
        <v>0.188205771649822</v>
      </c>
      <c r="O225" s="12" t="n">
        <f aca="false">ATAN((C225-C224)/(D225-D224))*180/PI()</f>
        <v>10.6587146565698</v>
      </c>
      <c r="P225" s="6" t="n">
        <f aca="false">IF(M225&lt;0,O225+180,IF(AND(M225&gt;0,L225&lt;0),O225+360,O225))</f>
        <v>190.65871465657</v>
      </c>
      <c r="Q225" s="6" t="n">
        <f aca="false">P225-1.437</f>
        <v>189.22171465657</v>
      </c>
      <c r="S225" s="6" t="n">
        <f aca="false">F225</f>
        <v>222</v>
      </c>
      <c r="T225" s="6" t="str">
        <f aca="false">G225</f>
        <v>DAV223</v>
      </c>
      <c r="U225" s="6" t="n">
        <f aca="false">H225</f>
        <v>13.5860553508311</v>
      </c>
      <c r="V225" s="6" t="n">
        <f aca="false">Q225</f>
        <v>189.22171465657</v>
      </c>
      <c r="W225" s="2" t="n">
        <f aca="false">J225</f>
        <v>53.3496494488081</v>
      </c>
    </row>
    <row r="226" customFormat="false" ht="12.8" hidden="false" customHeight="false" outlineLevel="0" collapsed="false">
      <c r="A226" s="6" t="s">
        <v>5</v>
      </c>
      <c r="B226" s="1" t="n">
        <v>224</v>
      </c>
      <c r="C226" s="2" t="n">
        <v>352556.97</v>
      </c>
      <c r="D226" s="2" t="n">
        <v>5261427.26</v>
      </c>
      <c r="E226" s="2" t="n">
        <v>2112.8</v>
      </c>
      <c r="F226" s="6" t="n">
        <f aca="false">B225</f>
        <v>223</v>
      </c>
      <c r="G226" s="7" t="str">
        <f aca="false">_xlfn.CONCAT("DAV",B226)</f>
        <v>DAV224</v>
      </c>
      <c r="H226" s="6" t="n">
        <f aca="false">SQRT((C226-C225)^2+(D226-D225)^2+(E226-E225)^2)</f>
        <v>10.5557804072571</v>
      </c>
      <c r="I226" s="6" t="n">
        <f aca="false">MOD((2*180*(ATAN((C225-C226)/(D226-D225))*180/PI())/360), 360)</f>
        <v>352.619684135702</v>
      </c>
      <c r="J226" s="2" t="n">
        <f aca="false">ASIN((E226-E225)/H226)*180/PI()</f>
        <v>29.5130039760745</v>
      </c>
      <c r="L226" s="6" t="n">
        <f aca="false">C226-C225</f>
        <v>-1.18000000005122</v>
      </c>
      <c r="M226" s="6" t="n">
        <f aca="false">D226-D225</f>
        <v>-9.11000000033528</v>
      </c>
      <c r="N226" s="6" t="n">
        <f aca="false">(C226-C225)/(D226-D225)</f>
        <v>0.129527991219297</v>
      </c>
      <c r="O226" s="12" t="n">
        <f aca="false">ATAN((C226-C225)/(D226-D225))*180/PI()</f>
        <v>7.38031586429807</v>
      </c>
      <c r="P226" s="6" t="n">
        <f aca="false">IF(M226&lt;0,O226+180,IF(AND(M226&gt;0,L226&lt;0),O226+360,O226))</f>
        <v>187.380315864298</v>
      </c>
      <c r="Q226" s="6" t="n">
        <f aca="false">P226-1.437</f>
        <v>185.943315864298</v>
      </c>
      <c r="S226" s="6" t="n">
        <f aca="false">F226</f>
        <v>223</v>
      </c>
      <c r="T226" s="6" t="str">
        <f aca="false">G226</f>
        <v>DAV224</v>
      </c>
      <c r="U226" s="6" t="n">
        <f aca="false">H226</f>
        <v>10.5557804072571</v>
      </c>
      <c r="V226" s="6" t="n">
        <f aca="false">Q226</f>
        <v>185.943315864298</v>
      </c>
      <c r="W226" s="2" t="n">
        <f aca="false">J226</f>
        <v>29.5130039760745</v>
      </c>
    </row>
    <row r="227" customFormat="false" ht="12.8" hidden="false" customHeight="false" outlineLevel="0" collapsed="false">
      <c r="A227" s="6" t="s">
        <v>5</v>
      </c>
      <c r="B227" s="1" t="n">
        <v>225</v>
      </c>
      <c r="C227" s="2" t="n">
        <v>352556.79</v>
      </c>
      <c r="D227" s="2" t="n">
        <v>5261419</v>
      </c>
      <c r="E227" s="2" t="n">
        <v>2111.7</v>
      </c>
      <c r="F227" s="6" t="n">
        <f aca="false">B226</f>
        <v>224</v>
      </c>
      <c r="G227" s="7" t="str">
        <f aca="false">_xlfn.CONCAT("DAV",B227)</f>
        <v>DAV225</v>
      </c>
      <c r="H227" s="6" t="n">
        <f aca="false">SQRT((C227-C226)^2+(D227-D226)^2+(E227-E226)^2)</f>
        <v>8.33486652540434</v>
      </c>
      <c r="I227" s="6" t="n">
        <f aca="false">MOD((2*180*(ATAN((C226-C227)/(D227-D226))*180/PI())/360), 360)</f>
        <v>358.751621276496</v>
      </c>
      <c r="J227" s="2" t="n">
        <f aca="false">ASIN((E227-E226)/H227)*180/PI()</f>
        <v>-7.58377649345408</v>
      </c>
      <c r="L227" s="6" t="n">
        <f aca="false">C227-C226</f>
        <v>-0.179999999993015</v>
      </c>
      <c r="M227" s="6" t="n">
        <f aca="false">D227-D226</f>
        <v>-8.25999999977648</v>
      </c>
      <c r="N227" s="6" t="n">
        <f aca="false">(C227-C226)/(D227-D226)</f>
        <v>0.0217917675542235</v>
      </c>
      <c r="O227" s="12" t="n">
        <f aca="false">ATAN((C227-C226)/(D227-D226))*180/PI()</f>
        <v>1.24837872350437</v>
      </c>
      <c r="P227" s="6" t="n">
        <f aca="false">IF(M227&lt;0,O227+180,IF(AND(M227&gt;0,L227&lt;0),O227+360,O227))</f>
        <v>181.248378723504</v>
      </c>
      <c r="Q227" s="6" t="n">
        <f aca="false">P227-1.437</f>
        <v>179.811378723504</v>
      </c>
      <c r="S227" s="6" t="n">
        <f aca="false">F227</f>
        <v>224</v>
      </c>
      <c r="T227" s="6" t="str">
        <f aca="false">G227</f>
        <v>DAV225</v>
      </c>
      <c r="U227" s="6" t="n">
        <f aca="false">H227</f>
        <v>8.33486652540434</v>
      </c>
      <c r="V227" s="6" t="n">
        <f aca="false">Q227</f>
        <v>179.811378723504</v>
      </c>
      <c r="W227" s="2" t="n">
        <f aca="false">J227</f>
        <v>-7.58377649345408</v>
      </c>
    </row>
    <row r="228" customFormat="false" ht="12.8" hidden="false" customHeight="false" outlineLevel="0" collapsed="false">
      <c r="A228" s="6" t="s">
        <v>5</v>
      </c>
      <c r="B228" s="1" t="n">
        <v>226</v>
      </c>
      <c r="C228" s="2" t="n">
        <v>352556.95</v>
      </c>
      <c r="D228" s="2" t="n">
        <v>5261411.06</v>
      </c>
      <c r="E228" s="2" t="n">
        <v>2125.3</v>
      </c>
      <c r="F228" s="6" t="n">
        <f aca="false">B227</f>
        <v>225</v>
      </c>
      <c r="G228" s="7" t="str">
        <f aca="false">_xlfn.CONCAT("DAV",B228)</f>
        <v>DAV226</v>
      </c>
      <c r="H228" s="6" t="n">
        <f aca="false">SQRT((C228-C227)^2+(D228-D227)^2+(E228-E227)^2)</f>
        <v>15.7489428218699</v>
      </c>
      <c r="I228" s="6" t="n">
        <f aca="false">MOD((2*180*(ATAN((C227-C228)/(D228-D227))*180/PI())/360), 360)</f>
        <v>1.15441866155701</v>
      </c>
      <c r="J228" s="2" t="n">
        <f aca="false">ASIN((E228-E227)/H228)*180/PI()</f>
        <v>59.7175474414827</v>
      </c>
      <c r="L228" s="6" t="n">
        <f aca="false">C228-C227</f>
        <v>0.160000000032596</v>
      </c>
      <c r="M228" s="6" t="n">
        <f aca="false">D228-D227</f>
        <v>-7.94000000040978</v>
      </c>
      <c r="N228" s="6" t="n">
        <f aca="false">(C228-C227)/(D228-D227)</f>
        <v>-0.0201511335043248</v>
      </c>
      <c r="O228" s="12" t="n">
        <f aca="false">ATAN((C228-C227)/(D228-D227))*180/PI()</f>
        <v>-1.15441866155701</v>
      </c>
      <c r="P228" s="6" t="n">
        <f aca="false">IF(M228&lt;0,O228+180,IF(AND(M228&gt;0,L228&lt;0),O228+360,O228))</f>
        <v>178.845581338443</v>
      </c>
      <c r="Q228" s="6" t="n">
        <f aca="false">P228-1.437</f>
        <v>177.408581338443</v>
      </c>
      <c r="S228" s="6" t="n">
        <f aca="false">F228</f>
        <v>225</v>
      </c>
      <c r="T228" s="6" t="str">
        <f aca="false">G228</f>
        <v>DAV226</v>
      </c>
      <c r="U228" s="6" t="n">
        <f aca="false">H228</f>
        <v>15.7489428218699</v>
      </c>
      <c r="V228" s="6" t="n">
        <f aca="false">Q228</f>
        <v>177.408581338443</v>
      </c>
      <c r="W228" s="2" t="n">
        <f aca="false">J228</f>
        <v>59.7175474414827</v>
      </c>
    </row>
    <row r="229" customFormat="false" ht="12.8" hidden="false" customHeight="false" outlineLevel="0" collapsed="false">
      <c r="A229" s="6" t="s">
        <v>5</v>
      </c>
      <c r="B229" s="1" t="n">
        <v>227</v>
      </c>
      <c r="C229" s="2" t="n">
        <v>352556.9</v>
      </c>
      <c r="D229" s="2" t="n">
        <v>5261409.01</v>
      </c>
      <c r="E229" s="2" t="n">
        <v>2127.2</v>
      </c>
      <c r="F229" s="6" t="n">
        <f aca="false">B228</f>
        <v>226</v>
      </c>
      <c r="G229" s="7" t="str">
        <f aca="false">_xlfn.CONCAT("DAV",B229)</f>
        <v>DAV227</v>
      </c>
      <c r="H229" s="6" t="n">
        <f aca="false">SQRT((C229-C228)^2+(D229-D228)^2+(E229-E228)^2)</f>
        <v>2.79553214956183</v>
      </c>
      <c r="I229" s="6" t="n">
        <f aca="false">MOD((2*180*(ATAN((C228-C229)/(D229-D228))*180/PI())/360), 360)</f>
        <v>358.602818972902</v>
      </c>
      <c r="J229" s="2" t="n">
        <f aca="false">ASIN((E229-E228)/H229)*180/PI()</f>
        <v>42.8167619652447</v>
      </c>
      <c r="L229" s="6" t="n">
        <f aca="false">C229-C228</f>
        <v>-0.0499999999883585</v>
      </c>
      <c r="M229" s="6" t="n">
        <f aca="false">D229-D228</f>
        <v>-2.04999999981374</v>
      </c>
      <c r="N229" s="6" t="n">
        <f aca="false">(C229-C228)/(D229-D228)</f>
        <v>0.0243902438989763</v>
      </c>
      <c r="O229" s="12" t="n">
        <f aca="false">ATAN((C229-C228)/(D229-D228))*180/PI()</f>
        <v>1.3971810270981</v>
      </c>
      <c r="P229" s="6" t="n">
        <f aca="false">IF(M229&lt;0,O229+180,IF(AND(M229&gt;0,L229&lt;0),O229+360,O229))</f>
        <v>181.397181027098</v>
      </c>
      <c r="Q229" s="6" t="n">
        <f aca="false">P229-1.437</f>
        <v>179.960181027098</v>
      </c>
      <c r="S229" s="6" t="n">
        <f aca="false">F229</f>
        <v>226</v>
      </c>
      <c r="T229" s="6" t="str">
        <f aca="false">G229</f>
        <v>DAV227</v>
      </c>
      <c r="U229" s="6" t="n">
        <f aca="false">H229</f>
        <v>2.79553214956183</v>
      </c>
      <c r="V229" s="6" t="n">
        <f aca="false">Q229</f>
        <v>179.960181027098</v>
      </c>
      <c r="W229" s="2" t="n">
        <f aca="false">J229</f>
        <v>42.8167619652447</v>
      </c>
    </row>
    <row r="230" customFormat="false" ht="12.8" hidden="false" customHeight="false" outlineLevel="0" collapsed="false">
      <c r="A230" s="6" t="s">
        <v>5</v>
      </c>
      <c r="B230" s="1" t="n">
        <v>228</v>
      </c>
      <c r="C230" s="2" t="n">
        <v>352556.11</v>
      </c>
      <c r="D230" s="2" t="n">
        <v>5261405.85</v>
      </c>
      <c r="E230" s="2" t="n">
        <v>2130.2</v>
      </c>
      <c r="F230" s="6" t="n">
        <f aca="false">B229</f>
        <v>227</v>
      </c>
      <c r="G230" s="7" t="str">
        <f aca="false">_xlfn.CONCAT("DAV",B230)</f>
        <v>DAV228</v>
      </c>
      <c r="H230" s="6" t="n">
        <f aca="false">SQRT((C230-C229)^2+(D230-D229)^2+(E230-E229)^2)</f>
        <v>4.42828409217392</v>
      </c>
      <c r="I230" s="6" t="n">
        <f aca="false">MOD((2*180*(ATAN((C229-C230)/(D230-D229))*180/PI())/360), 360)</f>
        <v>345.963756532074</v>
      </c>
      <c r="J230" s="2" t="n">
        <f aca="false">ASIN((E230-E229)/H230)*180/PI()</f>
        <v>42.645733771942</v>
      </c>
      <c r="L230" s="6" t="n">
        <f aca="false">C230-C229</f>
        <v>-0.790000000037253</v>
      </c>
      <c r="M230" s="6" t="n">
        <f aca="false">D230-D229</f>
        <v>-3.16000000014901</v>
      </c>
      <c r="N230" s="6" t="n">
        <f aca="false">(C230-C229)/(D230-D229)</f>
        <v>0.25</v>
      </c>
      <c r="O230" s="12" t="n">
        <f aca="false">ATAN((C230-C229)/(D230-D229))*180/PI()</f>
        <v>14.0362434679265</v>
      </c>
      <c r="P230" s="6" t="n">
        <f aca="false">IF(M230&lt;0,O230+180,IF(AND(M230&gt;0,L230&lt;0),O230+360,O230))</f>
        <v>194.036243467926</v>
      </c>
      <c r="Q230" s="6" t="n">
        <f aca="false">P230-1.437</f>
        <v>192.599243467926</v>
      </c>
      <c r="S230" s="6" t="n">
        <f aca="false">F230</f>
        <v>227</v>
      </c>
      <c r="T230" s="6" t="str">
        <f aca="false">G230</f>
        <v>DAV228</v>
      </c>
      <c r="U230" s="6" t="n">
        <f aca="false">H230</f>
        <v>4.42828409217392</v>
      </c>
      <c r="V230" s="6" t="n">
        <f aca="false">Q230</f>
        <v>192.599243467926</v>
      </c>
      <c r="W230" s="2" t="n">
        <f aca="false">J230</f>
        <v>42.645733771942</v>
      </c>
    </row>
    <row r="231" customFormat="false" ht="12.8" hidden="false" customHeight="false" outlineLevel="0" collapsed="false">
      <c r="A231" s="6" t="s">
        <v>5</v>
      </c>
      <c r="B231" s="1" t="n">
        <v>229</v>
      </c>
      <c r="C231" s="2" t="n">
        <v>352555.19</v>
      </c>
      <c r="D231" s="2" t="n">
        <v>5261403.03</v>
      </c>
      <c r="E231" s="2" t="n">
        <v>2132.3</v>
      </c>
      <c r="F231" s="6" t="n">
        <f aca="false">B230</f>
        <v>228</v>
      </c>
      <c r="G231" s="7" t="str">
        <f aca="false">_xlfn.CONCAT("DAV",B231)</f>
        <v>DAV229</v>
      </c>
      <c r="H231" s="6" t="n">
        <f aca="false">SQRT((C231-C230)^2+(D231-D230)^2+(E231-E230)^2)</f>
        <v>3.63439128278722</v>
      </c>
      <c r="I231" s="6" t="n">
        <f aca="false">MOD((2*180*(ATAN((C230-C231)/(D231-D230))*180/PI())/360), 360)</f>
        <v>341.931543698664</v>
      </c>
      <c r="J231" s="2" t="n">
        <f aca="false">ASIN((E231-E230)/H231)*180/PI()</f>
        <v>35.2968956578999</v>
      </c>
      <c r="L231" s="6" t="n">
        <f aca="false">C231-C230</f>
        <v>-0.919999999983702</v>
      </c>
      <c r="M231" s="6" t="n">
        <f aca="false">D231-D230</f>
        <v>-2.8199999993667</v>
      </c>
      <c r="N231" s="6" t="n">
        <f aca="false">(C231-C230)/(D231-D230)</f>
        <v>0.326241134819259</v>
      </c>
      <c r="O231" s="12" t="n">
        <f aca="false">ATAN((C231-C230)/(D231-D230))*180/PI()</f>
        <v>18.0684563013358</v>
      </c>
      <c r="P231" s="6" t="n">
        <f aca="false">IF(M231&lt;0,O231+180,IF(AND(M231&gt;0,L231&lt;0),O231+360,O231))</f>
        <v>198.068456301336</v>
      </c>
      <c r="Q231" s="6" t="n">
        <f aca="false">P231-1.437</f>
        <v>196.631456301336</v>
      </c>
      <c r="S231" s="6" t="n">
        <f aca="false">F231</f>
        <v>228</v>
      </c>
      <c r="T231" s="6" t="str">
        <f aca="false">G231</f>
        <v>DAV229</v>
      </c>
      <c r="U231" s="6" t="n">
        <f aca="false">H231</f>
        <v>3.63439128278722</v>
      </c>
      <c r="V231" s="6" t="n">
        <f aca="false">Q231</f>
        <v>196.631456301336</v>
      </c>
      <c r="W231" s="2" t="n">
        <f aca="false">J231</f>
        <v>35.2968956578999</v>
      </c>
    </row>
    <row r="232" customFormat="false" ht="12.8" hidden="false" customHeight="false" outlineLevel="0" collapsed="false">
      <c r="A232" s="6" t="s">
        <v>5</v>
      </c>
      <c r="B232" s="1" t="n">
        <v>230</v>
      </c>
      <c r="C232" s="2" t="n">
        <v>352553.11</v>
      </c>
      <c r="D232" s="2" t="n">
        <v>5261398.7</v>
      </c>
      <c r="E232" s="2" t="n">
        <v>2135.3</v>
      </c>
      <c r="F232" s="6" t="n">
        <f aca="false">B231</f>
        <v>229</v>
      </c>
      <c r="G232" s="7" t="str">
        <f aca="false">_xlfn.CONCAT("DAV",B232)</f>
        <v>DAV230</v>
      </c>
      <c r="H232" s="6" t="n">
        <f aca="false">SQRT((C232-C231)^2+(D232-D231)^2+(E232-E231)^2)</f>
        <v>5.66350598134345</v>
      </c>
      <c r="I232" s="6" t="n">
        <f aca="false">MOD((2*180*(ATAN((C231-C232)/(D232-D231))*180/PI())/360), 360)</f>
        <v>334.341789528268</v>
      </c>
      <c r="J232" s="2" t="n">
        <f aca="false">ASIN((E232-E231)/H232)*180/PI()</f>
        <v>31.9856748925186</v>
      </c>
      <c r="L232" s="6" t="n">
        <f aca="false">C232-C231</f>
        <v>-2.0800000000163</v>
      </c>
      <c r="M232" s="6" t="n">
        <f aca="false">D232-D231</f>
        <v>-4.33000000007451</v>
      </c>
      <c r="N232" s="6" t="n">
        <f aca="false">(C232-C231)/(D232-D231)</f>
        <v>0.480369515007046</v>
      </c>
      <c r="O232" s="12" t="n">
        <f aca="false">ATAN((C232-C231)/(D232-D231))*180/PI()</f>
        <v>25.6582104717321</v>
      </c>
      <c r="P232" s="6" t="n">
        <f aca="false">IF(M232&lt;0,O232+180,IF(AND(M232&gt;0,L232&lt;0),O232+360,O232))</f>
        <v>205.658210471732</v>
      </c>
      <c r="Q232" s="6" t="n">
        <f aca="false">P232-1.437</f>
        <v>204.221210471732</v>
      </c>
      <c r="S232" s="6" t="n">
        <f aca="false">F232</f>
        <v>229</v>
      </c>
      <c r="T232" s="6" t="str">
        <f aca="false">G232</f>
        <v>DAV230</v>
      </c>
      <c r="U232" s="6" t="n">
        <f aca="false">H232</f>
        <v>5.66350598134345</v>
      </c>
      <c r="V232" s="6" t="n">
        <f aca="false">Q232</f>
        <v>204.221210471732</v>
      </c>
      <c r="W232" s="2" t="n">
        <f aca="false">J232</f>
        <v>31.9856748925186</v>
      </c>
    </row>
    <row r="233" customFormat="false" ht="12.8" hidden="false" customHeight="false" outlineLevel="0" collapsed="false">
      <c r="A233" s="6" t="s">
        <v>5</v>
      </c>
      <c r="B233" s="1" t="n">
        <v>231</v>
      </c>
      <c r="C233" s="2" t="n">
        <v>352551.67</v>
      </c>
      <c r="D233" s="2" t="n">
        <v>5261396.29</v>
      </c>
      <c r="E233" s="2" t="n">
        <v>2136.5</v>
      </c>
      <c r="F233" s="6" t="n">
        <f aca="false">B232</f>
        <v>230</v>
      </c>
      <c r="G233" s="7" t="str">
        <f aca="false">_xlfn.CONCAT("DAV",B233)</f>
        <v>DAV231</v>
      </c>
      <c r="H233" s="6" t="n">
        <f aca="false">SQRT((C233-C232)^2+(D233-D232)^2+(E233-E232)^2)</f>
        <v>3.05314591867544</v>
      </c>
      <c r="I233" s="6" t="n">
        <f aca="false">MOD((2*180*(ATAN((C232-C233)/(D233-D232))*180/PI())/360), 360)</f>
        <v>329.141244780449</v>
      </c>
      <c r="J233" s="2" t="n">
        <f aca="false">ASIN((E233-E232)/H233)*180/PI()</f>
        <v>23.1436169247749</v>
      </c>
      <c r="L233" s="6" t="n">
        <f aca="false">C233-C232</f>
        <v>-1.44000000000233</v>
      </c>
      <c r="M233" s="6" t="n">
        <f aca="false">D233-D232</f>
        <v>-2.41000000014901</v>
      </c>
      <c r="N233" s="6" t="n">
        <f aca="false">(C233-C232)/(D233-D232)</f>
        <v>0.597510373408005</v>
      </c>
      <c r="O233" s="12" t="n">
        <f aca="false">ATAN((C233-C232)/(D233-D232))*180/PI()</f>
        <v>30.8587552195515</v>
      </c>
      <c r="P233" s="6" t="n">
        <f aca="false">IF(M233&lt;0,O233+180,IF(AND(M233&gt;0,L233&lt;0),O233+360,O233))</f>
        <v>210.858755219551</v>
      </c>
      <c r="Q233" s="6" t="n">
        <f aca="false">P233-1.437</f>
        <v>209.421755219551</v>
      </c>
      <c r="S233" s="6" t="n">
        <f aca="false">F233</f>
        <v>230</v>
      </c>
      <c r="T233" s="6" t="str">
        <f aca="false">G233</f>
        <v>DAV231</v>
      </c>
      <c r="U233" s="6" t="n">
        <f aca="false">H233</f>
        <v>3.05314591867544</v>
      </c>
      <c r="V233" s="6" t="n">
        <f aca="false">Q233</f>
        <v>209.421755219551</v>
      </c>
      <c r="W233" s="2" t="n">
        <f aca="false">J233</f>
        <v>23.1436169247749</v>
      </c>
    </row>
    <row r="234" customFormat="false" ht="12.8" hidden="false" customHeight="false" outlineLevel="0" collapsed="false">
      <c r="A234" s="6" t="s">
        <v>5</v>
      </c>
      <c r="B234" s="1" t="n">
        <v>232</v>
      </c>
      <c r="C234" s="2" t="n">
        <v>352547.79</v>
      </c>
      <c r="D234" s="2" t="n">
        <v>5261387.84</v>
      </c>
      <c r="E234" s="2" t="n">
        <v>2146.9</v>
      </c>
      <c r="F234" s="6" t="n">
        <f aca="false">B233</f>
        <v>231</v>
      </c>
      <c r="G234" s="7" t="str">
        <f aca="false">_xlfn.CONCAT("DAV",B234)</f>
        <v>DAV232</v>
      </c>
      <c r="H234" s="6" t="n">
        <f aca="false">SQRT((C234-C233)^2+(D234-D233)^2+(E234-E233)^2)</f>
        <v>13.9505161195988</v>
      </c>
      <c r="I234" s="6" t="n">
        <f aca="false">MOD((2*180*(ATAN((C233-C234)/(D234-D233))*180/PI())/360), 360)</f>
        <v>335.336756702964</v>
      </c>
      <c r="J234" s="2" t="n">
        <f aca="false">ASIN((E234-E233)/H234)*180/PI()</f>
        <v>48.2013867407152</v>
      </c>
      <c r="L234" s="6" t="n">
        <f aca="false">C234-C233</f>
        <v>-3.88000000000466</v>
      </c>
      <c r="M234" s="6" t="n">
        <f aca="false">D234-D233</f>
        <v>-8.45000000018627</v>
      </c>
      <c r="N234" s="6" t="n">
        <f aca="false">(C234-C233)/(D234-D233)</f>
        <v>0.459171597623566</v>
      </c>
      <c r="O234" s="12" t="n">
        <f aca="false">ATAN((C234-C233)/(D234-D233))*180/PI()</f>
        <v>24.663243297036</v>
      </c>
      <c r="P234" s="6" t="n">
        <f aca="false">IF(M234&lt;0,O234+180,IF(AND(M234&gt;0,L234&lt;0),O234+360,O234))</f>
        <v>204.663243297036</v>
      </c>
      <c r="Q234" s="6" t="n">
        <f aca="false">P234-1.437</f>
        <v>203.226243297036</v>
      </c>
      <c r="S234" s="6" t="n">
        <f aca="false">F234</f>
        <v>231</v>
      </c>
      <c r="T234" s="6" t="str">
        <f aca="false">G234</f>
        <v>DAV232</v>
      </c>
      <c r="U234" s="6" t="n">
        <f aca="false">H234</f>
        <v>13.9505161195988</v>
      </c>
      <c r="V234" s="6" t="n">
        <f aca="false">Q234</f>
        <v>203.226243297036</v>
      </c>
      <c r="W234" s="2" t="n">
        <f aca="false">J234</f>
        <v>48.2013867407152</v>
      </c>
    </row>
    <row r="235" customFormat="false" ht="12.8" hidden="false" customHeight="false" outlineLevel="0" collapsed="false">
      <c r="A235" s="6" t="s">
        <v>5</v>
      </c>
      <c r="B235" s="1" t="n">
        <v>233</v>
      </c>
      <c r="C235" s="2" t="n">
        <v>352547.09</v>
      </c>
      <c r="D235" s="2" t="n">
        <v>5261386.07</v>
      </c>
      <c r="E235" s="2" t="n">
        <v>2148.9</v>
      </c>
      <c r="F235" s="6" t="n">
        <f aca="false">B234</f>
        <v>232</v>
      </c>
      <c r="G235" s="7" t="str">
        <f aca="false">_xlfn.CONCAT("DAV",B235)</f>
        <v>DAV233</v>
      </c>
      <c r="H235" s="6" t="n">
        <f aca="false">SQRT((C235-C234)^2+(D235-D234)^2+(E235-E234)^2)</f>
        <v>2.76095997768028</v>
      </c>
      <c r="I235" s="6" t="n">
        <f aca="false">MOD((2*180*(ATAN((C234-C235)/(D235-D234))*180/PI())/360), 360)</f>
        <v>338.422182660882</v>
      </c>
      <c r="J235" s="2" t="n">
        <f aca="false">ASIN((E235-E234)/H235)*180/PI()</f>
        <v>46.4177715043495</v>
      </c>
      <c r="L235" s="6" t="n">
        <f aca="false">C235-C234</f>
        <v>-0.699999999953434</v>
      </c>
      <c r="M235" s="6" t="n">
        <f aca="false">D235-D234</f>
        <v>-1.76999999955297</v>
      </c>
      <c r="N235" s="6" t="n">
        <f aca="false">(C235-C234)/(D235-D234)</f>
        <v>0.395480226062275</v>
      </c>
      <c r="O235" s="12" t="n">
        <f aca="false">ATAN((C235-C234)/(D235-D234))*180/PI()</f>
        <v>21.5778173391184</v>
      </c>
      <c r="P235" s="6" t="n">
        <f aca="false">IF(M235&lt;0,O235+180,IF(AND(M235&gt;0,L235&lt;0),O235+360,O235))</f>
        <v>201.577817339118</v>
      </c>
      <c r="Q235" s="6" t="n">
        <f aca="false">P235-1.437</f>
        <v>200.140817339118</v>
      </c>
      <c r="S235" s="6" t="n">
        <f aca="false">F235</f>
        <v>232</v>
      </c>
      <c r="T235" s="6" t="str">
        <f aca="false">G235</f>
        <v>DAV233</v>
      </c>
      <c r="U235" s="6" t="n">
        <f aca="false">H235</f>
        <v>2.76095997768028</v>
      </c>
      <c r="V235" s="6" t="n">
        <f aca="false">Q235</f>
        <v>200.140817339118</v>
      </c>
      <c r="W235" s="2" t="n">
        <f aca="false">J235</f>
        <v>46.4177715043495</v>
      </c>
    </row>
    <row r="236" customFormat="false" ht="12.8" hidden="false" customHeight="false" outlineLevel="0" collapsed="false">
      <c r="A236" s="6" t="s">
        <v>5</v>
      </c>
      <c r="B236" s="1" t="n">
        <v>234</v>
      </c>
      <c r="C236" s="2" t="n">
        <v>352536.2</v>
      </c>
      <c r="D236" s="2" t="n">
        <v>5261369.23</v>
      </c>
      <c r="E236" s="2" t="n">
        <v>2159.2</v>
      </c>
      <c r="F236" s="6" t="n">
        <f aca="false">B235</f>
        <v>233</v>
      </c>
      <c r="G236" s="7" t="str">
        <f aca="false">_xlfn.CONCAT("DAV",B236)</f>
        <v>DAV234</v>
      </c>
      <c r="H236" s="6" t="n">
        <f aca="false">SQRT((C236-C235)^2+(D236-D235)^2+(E236-E235)^2)</f>
        <v>22.5447931903418</v>
      </c>
      <c r="I236" s="6" t="n">
        <f aca="false">MOD((2*180*(ATAN((C235-C236)/(D236-D235))*180/PI())/360), 360)</f>
        <v>327.110277887426</v>
      </c>
      <c r="J236" s="2" t="n">
        <f aca="false">ASIN((E236-E235)/H236)*180/PI()</f>
        <v>27.1852046904664</v>
      </c>
      <c r="L236" s="6" t="n">
        <f aca="false">C236-C235</f>
        <v>-10.890000000014</v>
      </c>
      <c r="M236" s="6" t="n">
        <f aca="false">D236-D235</f>
        <v>-16.839999999851</v>
      </c>
      <c r="N236" s="6" t="n">
        <f aca="false">(C236-C235)/(D236-D235)</f>
        <v>0.646674584329592</v>
      </c>
      <c r="O236" s="12" t="n">
        <f aca="false">ATAN((C236-C235)/(D236-D235))*180/PI()</f>
        <v>32.889722112574</v>
      </c>
      <c r="P236" s="6" t="n">
        <f aca="false">IF(M236&lt;0,O236+180,IF(AND(M236&gt;0,L236&lt;0),O236+360,O236))</f>
        <v>212.889722112574</v>
      </c>
      <c r="Q236" s="6" t="n">
        <f aca="false">P236-1.437</f>
        <v>211.452722112574</v>
      </c>
      <c r="S236" s="6" t="n">
        <f aca="false">F236</f>
        <v>233</v>
      </c>
      <c r="T236" s="6" t="str">
        <f aca="false">G236</f>
        <v>DAV234</v>
      </c>
      <c r="U236" s="6" t="n">
        <f aca="false">H236</f>
        <v>22.5447931903418</v>
      </c>
      <c r="V236" s="6" t="n">
        <f aca="false">Q236</f>
        <v>211.452722112574</v>
      </c>
      <c r="W236" s="2" t="n">
        <f aca="false">J236</f>
        <v>27.1852046904664</v>
      </c>
    </row>
    <row r="237" customFormat="false" ht="12.8" hidden="false" customHeight="false" outlineLevel="0" collapsed="false">
      <c r="A237" s="6" t="s">
        <v>5</v>
      </c>
      <c r="B237" s="1" t="n">
        <v>235</v>
      </c>
      <c r="C237" s="2" t="n">
        <v>352533.5</v>
      </c>
      <c r="D237" s="2" t="n">
        <v>5261366.51</v>
      </c>
      <c r="E237" s="2" t="n">
        <v>2164</v>
      </c>
      <c r="F237" s="6" t="n">
        <f aca="false">B236</f>
        <v>234</v>
      </c>
      <c r="G237" s="7" t="str">
        <f aca="false">_xlfn.CONCAT("DAV",B237)</f>
        <v>DAV235</v>
      </c>
      <c r="H237" s="6" t="n">
        <f aca="false">SQRT((C237-C236)^2+(D237-D236)^2+(E237-E236)^2)</f>
        <v>6.14234482943708</v>
      </c>
      <c r="I237" s="6" t="n">
        <f aca="false">MOD((2*180*(ATAN((C236-C237)/(D237-D236))*180/PI())/360), 360)</f>
        <v>315.211422587978</v>
      </c>
      <c r="J237" s="2" t="n">
        <f aca="false">ASIN((E237-E236)/H237)*180/PI()</f>
        <v>51.3944946610553</v>
      </c>
      <c r="L237" s="6" t="n">
        <f aca="false">C237-C236</f>
        <v>-2.70000000001164</v>
      </c>
      <c r="M237" s="6" t="n">
        <f aca="false">D237-D236</f>
        <v>-2.72000000067055</v>
      </c>
      <c r="N237" s="6" t="n">
        <f aca="false">(C237-C236)/(D237-D236)</f>
        <v>0.992647058583096</v>
      </c>
      <c r="O237" s="12" t="n">
        <f aca="false">ATAN((C237-C236)/(D237-D236))*180/PI()</f>
        <v>44.7885774120219</v>
      </c>
      <c r="P237" s="6" t="n">
        <f aca="false">IF(M237&lt;0,O237+180,IF(AND(M237&gt;0,L237&lt;0),O237+360,O237))</f>
        <v>224.788577412022</v>
      </c>
      <c r="Q237" s="6" t="n">
        <f aca="false">P237-1.437</f>
        <v>223.351577412022</v>
      </c>
      <c r="S237" s="6" t="n">
        <f aca="false">F237</f>
        <v>234</v>
      </c>
      <c r="T237" s="6" t="str">
        <f aca="false">G237</f>
        <v>DAV235</v>
      </c>
      <c r="U237" s="6" t="n">
        <f aca="false">H237</f>
        <v>6.14234482943708</v>
      </c>
      <c r="V237" s="6" t="n">
        <f aca="false">Q237</f>
        <v>223.351577412022</v>
      </c>
      <c r="W237" s="2" t="n">
        <f aca="false">J237</f>
        <v>51.3944946610553</v>
      </c>
    </row>
    <row r="238" customFormat="false" ht="12.8" hidden="false" customHeight="false" outlineLevel="0" collapsed="false">
      <c r="A238" s="6" t="s">
        <v>5</v>
      </c>
      <c r="B238" s="1" t="n">
        <v>236</v>
      </c>
      <c r="C238" s="2" t="n">
        <v>352531.82</v>
      </c>
      <c r="D238" s="2" t="n">
        <v>5261365.16</v>
      </c>
      <c r="E238" s="2" t="n">
        <v>2166.6</v>
      </c>
      <c r="F238" s="6" t="n">
        <f aca="false">B237</f>
        <v>235</v>
      </c>
      <c r="G238" s="7" t="str">
        <f aca="false">_xlfn.CONCAT("DAV",B238)</f>
        <v>DAV236</v>
      </c>
      <c r="H238" s="6" t="n">
        <f aca="false">SQRT((C238-C237)^2+(D238-D237)^2+(E238-E237)^2)</f>
        <v>3.37711415249325</v>
      </c>
      <c r="I238" s="6" t="n">
        <f aca="false">MOD((2*180*(ATAN((C237-C238)/(D238-D237))*180/PI())/360), 360)</f>
        <v>308.784364092694</v>
      </c>
      <c r="J238" s="2" t="n">
        <f aca="false">ASIN((E238-E237)/H238)*180/PI()</f>
        <v>50.3438414385645</v>
      </c>
      <c r="L238" s="6" t="n">
        <f aca="false">C238-C237</f>
        <v>-1.67999999999302</v>
      </c>
      <c r="M238" s="6" t="n">
        <f aca="false">D238-D237</f>
        <v>-1.34999999962747</v>
      </c>
      <c r="N238" s="6" t="n">
        <f aca="false">(C238-C237)/(D238-D237)</f>
        <v>1.24444444478267</v>
      </c>
      <c r="O238" s="12" t="n">
        <f aca="false">ATAN((C238-C237)/(D238-D237))*180/PI()</f>
        <v>51.2156359073063</v>
      </c>
      <c r="P238" s="6" t="n">
        <f aca="false">IF(M238&lt;0,O238+180,IF(AND(M238&gt;0,L238&lt;0),O238+360,O238))</f>
        <v>231.215635907306</v>
      </c>
      <c r="Q238" s="6" t="n">
        <f aca="false">P238-1.437</f>
        <v>229.778635907306</v>
      </c>
      <c r="S238" s="6" t="n">
        <f aca="false">F238</f>
        <v>235</v>
      </c>
      <c r="T238" s="6" t="str">
        <f aca="false">G238</f>
        <v>DAV236</v>
      </c>
      <c r="U238" s="6" t="n">
        <f aca="false">H238</f>
        <v>3.37711415249325</v>
      </c>
      <c r="V238" s="6" t="n">
        <f aca="false">Q238</f>
        <v>229.778635907306</v>
      </c>
      <c r="W238" s="2" t="n">
        <f aca="false">J238</f>
        <v>50.3438414385645</v>
      </c>
    </row>
    <row r="239" customFormat="false" ht="12.8" hidden="false" customHeight="false" outlineLevel="0" collapsed="false">
      <c r="A239" s="6" t="s">
        <v>5</v>
      </c>
      <c r="B239" s="1" t="n">
        <v>237</v>
      </c>
      <c r="C239" s="2" t="n">
        <v>352528.69</v>
      </c>
      <c r="D239" s="2" t="n">
        <v>5261364.1</v>
      </c>
      <c r="E239" s="2" t="n">
        <v>2168.5</v>
      </c>
      <c r="F239" s="6" t="n">
        <f aca="false">B238</f>
        <v>236</v>
      </c>
      <c r="G239" s="7" t="str">
        <f aca="false">_xlfn.CONCAT("DAV",B239)</f>
        <v>DAV237</v>
      </c>
      <c r="H239" s="6" t="n">
        <f aca="false">SQRT((C239-C238)^2+(D239-D238)^2+(E239-E238)^2)</f>
        <v>3.81188929549838</v>
      </c>
      <c r="I239" s="6" t="n">
        <f aca="false">MOD((2*180*(ATAN((C238-C239)/(D239-D238))*180/PI())/360), 360)</f>
        <v>288.709089225194</v>
      </c>
      <c r="J239" s="2" t="n">
        <f aca="false">ASIN((E239-E238)/H239)*180/PI()</f>
        <v>29.896877722514</v>
      </c>
      <c r="L239" s="6" t="n">
        <f aca="false">C239-C238</f>
        <v>-3.13000000000466</v>
      </c>
      <c r="M239" s="6" t="n">
        <f aca="false">D239-D238</f>
        <v>-1.06000000052154</v>
      </c>
      <c r="N239" s="6" t="n">
        <f aca="false">(C239-C238)/(D239-D238)</f>
        <v>2.95283018723079</v>
      </c>
      <c r="O239" s="12" t="n">
        <f aca="false">ATAN((C239-C238)/(D239-D238))*180/PI()</f>
        <v>71.290910774806</v>
      </c>
      <c r="P239" s="6" t="n">
        <f aca="false">IF(M239&lt;0,O239+180,IF(AND(M239&gt;0,L239&lt;0),O239+360,O239))</f>
        <v>251.290910774806</v>
      </c>
      <c r="Q239" s="6" t="n">
        <f aca="false">P239-1.437</f>
        <v>249.853910774806</v>
      </c>
      <c r="S239" s="6" t="n">
        <f aca="false">F239</f>
        <v>236</v>
      </c>
      <c r="T239" s="6" t="str">
        <f aca="false">G239</f>
        <v>DAV237</v>
      </c>
      <c r="U239" s="6" t="n">
        <f aca="false">H239</f>
        <v>3.81188929549838</v>
      </c>
      <c r="V239" s="6" t="n">
        <f aca="false">Q239</f>
        <v>249.853910774806</v>
      </c>
      <c r="W239" s="2" t="n">
        <f aca="false">J239</f>
        <v>29.896877722514</v>
      </c>
    </row>
    <row r="240" customFormat="false" ht="12.8" hidden="false" customHeight="false" outlineLevel="0" collapsed="false">
      <c r="A240" s="6" t="s">
        <v>5</v>
      </c>
      <c r="B240" s="1" t="n">
        <v>238</v>
      </c>
      <c r="C240" s="2" t="n">
        <v>352522.37</v>
      </c>
      <c r="D240" s="2" t="n">
        <v>5261362.25</v>
      </c>
      <c r="E240" s="2" t="n">
        <v>2171.5</v>
      </c>
      <c r="F240" s="6" t="n">
        <f aca="false">B239</f>
        <v>237</v>
      </c>
      <c r="G240" s="7" t="str">
        <f aca="false">_xlfn.CONCAT("DAV",B240)</f>
        <v>DAV238</v>
      </c>
      <c r="H240" s="6" t="n">
        <f aca="false">SQRT((C240-C239)^2+(D240-D239)^2+(E240-E239)^2)</f>
        <v>7.23635958191064</v>
      </c>
      <c r="I240" s="6" t="n">
        <f aca="false">MOD((2*180*(ATAN((C239-C240)/(D240-D239))*180/PI())/360), 360)</f>
        <v>286.315889099497</v>
      </c>
      <c r="J240" s="2" t="n">
        <f aca="false">ASIN((E240-E239)/H240)*180/PI()</f>
        <v>24.4924352222827</v>
      </c>
      <c r="L240" s="6" t="n">
        <f aca="false">C240-C239</f>
        <v>-6.32000000000699</v>
      </c>
      <c r="M240" s="6" t="n">
        <f aca="false">D240-D239</f>
        <v>-1.84999999962747</v>
      </c>
      <c r="N240" s="6" t="n">
        <f aca="false">(C240-C239)/(D240-D239)</f>
        <v>3.41621621690791</v>
      </c>
      <c r="O240" s="12" t="n">
        <f aca="false">ATAN((C240-C239)/(D240-D239))*180/PI()</f>
        <v>73.6841109005026</v>
      </c>
      <c r="P240" s="6" t="n">
        <f aca="false">IF(M240&lt;0,O240+180,IF(AND(M240&gt;0,L240&lt;0),O240+360,O240))</f>
        <v>253.684110900503</v>
      </c>
      <c r="Q240" s="6" t="n">
        <f aca="false">P240-1.437</f>
        <v>252.247110900503</v>
      </c>
      <c r="S240" s="6" t="n">
        <f aca="false">F240</f>
        <v>237</v>
      </c>
      <c r="T240" s="6" t="str">
        <f aca="false">G240</f>
        <v>DAV238</v>
      </c>
      <c r="U240" s="6" t="n">
        <f aca="false">H240</f>
        <v>7.23635958191064</v>
      </c>
      <c r="V240" s="6" t="n">
        <f aca="false">Q240</f>
        <v>252.247110900503</v>
      </c>
      <c r="W240" s="2" t="n">
        <f aca="false">J240</f>
        <v>24.4924352222827</v>
      </c>
    </row>
    <row r="241" customFormat="false" ht="12.8" hidden="false" customHeight="false" outlineLevel="0" collapsed="false">
      <c r="A241" s="6" t="s">
        <v>5</v>
      </c>
      <c r="B241" s="1" t="n">
        <v>239</v>
      </c>
      <c r="C241" s="2" t="n">
        <v>352521.22</v>
      </c>
      <c r="D241" s="2" t="n">
        <v>5261361.35</v>
      </c>
      <c r="E241" s="2" t="n">
        <v>2172</v>
      </c>
      <c r="F241" s="6" t="n">
        <f aca="false">B240</f>
        <v>238</v>
      </c>
      <c r="G241" s="7" t="str">
        <f aca="false">_xlfn.CONCAT("DAV",B241)</f>
        <v>DAV239</v>
      </c>
      <c r="H241" s="6" t="n">
        <f aca="false">SQRT((C241-C240)^2+(D241-D240)^2+(E241-E240)^2)</f>
        <v>1.54353490427787</v>
      </c>
      <c r="I241" s="6" t="n">
        <f aca="false">MOD((2*180*(ATAN((C240-C241)/(D241-D240))*180/PI())/360), 360)</f>
        <v>308.047042542774</v>
      </c>
      <c r="J241" s="2" t="n">
        <f aca="false">ASIN((E241-E240)/H241)*180/PI()</f>
        <v>18.9008694113999</v>
      </c>
      <c r="L241" s="6" t="n">
        <f aca="false">C241-C240</f>
        <v>-1.15000000002328</v>
      </c>
      <c r="M241" s="6" t="n">
        <f aca="false">D241-D240</f>
        <v>-0.900000000372529</v>
      </c>
      <c r="N241" s="6" t="n">
        <f aca="false">(C241-C240)/(D241-D240)</f>
        <v>1.27777777727475</v>
      </c>
      <c r="O241" s="12" t="n">
        <f aca="false">ATAN((C241-C240)/(D241-D240))*180/PI()</f>
        <v>51.9529574572265</v>
      </c>
      <c r="P241" s="6" t="n">
        <f aca="false">IF(M241&lt;0,O241+180,IF(AND(M241&gt;0,L241&lt;0),O241+360,O241))</f>
        <v>231.952957457227</v>
      </c>
      <c r="Q241" s="6" t="n">
        <f aca="false">P241-1.437</f>
        <v>230.515957457226</v>
      </c>
      <c r="S241" s="6" t="n">
        <f aca="false">F241</f>
        <v>238</v>
      </c>
      <c r="T241" s="6" t="str">
        <f aca="false">G241</f>
        <v>DAV239</v>
      </c>
      <c r="U241" s="6" t="n">
        <f aca="false">H241</f>
        <v>1.54353490427787</v>
      </c>
      <c r="V241" s="6" t="n">
        <f aca="false">Q241</f>
        <v>230.515957457226</v>
      </c>
      <c r="W241" s="2" t="n">
        <f aca="false">J241</f>
        <v>18.9008694113999</v>
      </c>
    </row>
    <row r="242" customFormat="false" ht="12.8" hidden="false" customHeight="false" outlineLevel="0" collapsed="false">
      <c r="A242" s="6" t="s">
        <v>5</v>
      </c>
      <c r="B242" s="1" t="n">
        <v>240</v>
      </c>
      <c r="C242" s="2" t="n">
        <v>352518.4</v>
      </c>
      <c r="D242" s="2" t="n">
        <v>5261356.05</v>
      </c>
      <c r="E242" s="2" t="n">
        <v>2175</v>
      </c>
      <c r="F242" s="6" t="n">
        <f aca="false">B241</f>
        <v>239</v>
      </c>
      <c r="G242" s="7" t="str">
        <f aca="false">_xlfn.CONCAT("DAV",B242)</f>
        <v>DAV240</v>
      </c>
      <c r="H242" s="6" t="n">
        <f aca="false">SQRT((C242-C241)^2+(D242-D241)^2+(E242-E241)^2)</f>
        <v>6.71136349766102</v>
      </c>
      <c r="I242" s="6" t="n">
        <f aca="false">MOD((2*180*(ATAN((C241-C242)/(D242-D241))*180/PI())/360), 360)</f>
        <v>331.983652355511</v>
      </c>
      <c r="J242" s="2" t="n">
        <f aca="false">ASIN((E242-E241)/H242)*180/PI()</f>
        <v>26.5515651619982</v>
      </c>
      <c r="L242" s="6" t="n">
        <f aca="false">C242-C241</f>
        <v>-2.81999999994878</v>
      </c>
      <c r="M242" s="6" t="n">
        <f aca="false">D242-D241</f>
        <v>-5.29999999981374</v>
      </c>
      <c r="N242" s="6" t="n">
        <f aca="false">(C242-C241)/(D242-D241)</f>
        <v>0.532075471707148</v>
      </c>
      <c r="O242" s="12" t="n">
        <f aca="false">ATAN((C242-C241)/(D242-D241))*180/PI()</f>
        <v>28.0163476444891</v>
      </c>
      <c r="P242" s="6" t="n">
        <f aca="false">IF(M242&lt;0,O242+180,IF(AND(M242&gt;0,L242&lt;0),O242+360,O242))</f>
        <v>208.016347644489</v>
      </c>
      <c r="Q242" s="6" t="n">
        <f aca="false">P242-1.437</f>
        <v>206.579347644489</v>
      </c>
      <c r="S242" s="6" t="n">
        <f aca="false">F242</f>
        <v>239</v>
      </c>
      <c r="T242" s="6" t="str">
        <f aca="false">G242</f>
        <v>DAV240</v>
      </c>
      <c r="U242" s="6" t="n">
        <f aca="false">H242</f>
        <v>6.71136349766102</v>
      </c>
      <c r="V242" s="6" t="n">
        <f aca="false">Q242</f>
        <v>206.579347644489</v>
      </c>
      <c r="W242" s="2" t="n">
        <f aca="false">J242</f>
        <v>26.5515651619982</v>
      </c>
    </row>
    <row r="243" customFormat="false" ht="12.8" hidden="false" customHeight="false" outlineLevel="0" collapsed="false">
      <c r="A243" s="6" t="s">
        <v>5</v>
      </c>
      <c r="B243" s="1" t="n">
        <v>241</v>
      </c>
      <c r="C243" s="2" t="n">
        <v>352516.9</v>
      </c>
      <c r="D243" s="2" t="n">
        <v>5261354.23</v>
      </c>
      <c r="E243" s="2" t="n">
        <v>2175.1</v>
      </c>
      <c r="F243" s="6" t="n">
        <f aca="false">B242</f>
        <v>240</v>
      </c>
      <c r="G243" s="7" t="str">
        <f aca="false">_xlfn.CONCAT("DAV",B243)</f>
        <v>DAV241</v>
      </c>
      <c r="H243" s="6" t="n">
        <f aca="false">SQRT((C243-C242)^2+(D243-D242)^2+(E243-E242)^2)</f>
        <v>2.36059314531216</v>
      </c>
      <c r="I243" s="6" t="n">
        <f aca="false">MOD((2*180*(ATAN((C242-C243)/(D243-D242))*180/PI())/360), 360)</f>
        <v>320.505477848193</v>
      </c>
      <c r="J243" s="2" t="n">
        <f aca="false">ASIN((E243-E242)/H243)*180/PI()</f>
        <v>2.4279037773042</v>
      </c>
      <c r="L243" s="6" t="n">
        <f aca="false">C243-C242</f>
        <v>-1.5</v>
      </c>
      <c r="M243" s="6" t="n">
        <f aca="false">D243-D242</f>
        <v>-1.8199999993667</v>
      </c>
      <c r="N243" s="6" t="n">
        <f aca="false">(C243-C242)/(D243-D242)</f>
        <v>0.82417582446261</v>
      </c>
      <c r="O243" s="12" t="n">
        <f aca="false">ATAN((C243-C242)/(D243-D242))*180/PI()</f>
        <v>39.4945221518067</v>
      </c>
      <c r="P243" s="6" t="n">
        <f aca="false">IF(M243&lt;0,O243+180,IF(AND(M243&gt;0,L243&lt;0),O243+360,O243))</f>
        <v>219.494522151807</v>
      </c>
      <c r="Q243" s="6" t="n">
        <f aca="false">P243-1.437</f>
        <v>218.057522151807</v>
      </c>
      <c r="S243" s="6" t="n">
        <f aca="false">F243</f>
        <v>240</v>
      </c>
      <c r="T243" s="6" t="str">
        <f aca="false">G243</f>
        <v>DAV241</v>
      </c>
      <c r="U243" s="6" t="n">
        <f aca="false">H243</f>
        <v>2.36059314531216</v>
      </c>
      <c r="V243" s="6" t="n">
        <f aca="false">Q243</f>
        <v>218.057522151807</v>
      </c>
      <c r="W243" s="2" t="n">
        <f aca="false">J243</f>
        <v>2.4279037773042</v>
      </c>
    </row>
    <row r="244" customFormat="false" ht="12.8" hidden="false" customHeight="false" outlineLevel="0" collapsed="false">
      <c r="A244" s="6" t="s">
        <v>5</v>
      </c>
      <c r="B244" s="1" t="n">
        <v>242</v>
      </c>
      <c r="C244" s="2" t="n">
        <v>352514.95</v>
      </c>
      <c r="D244" s="2" t="n">
        <v>5261352.88</v>
      </c>
      <c r="E244" s="2" t="n">
        <v>2178.4</v>
      </c>
      <c r="F244" s="6" t="n">
        <f aca="false">B243</f>
        <v>241</v>
      </c>
      <c r="G244" s="7" t="str">
        <f aca="false">_xlfn.CONCAT("DAV",B244)</f>
        <v>DAV242</v>
      </c>
      <c r="H244" s="6" t="n">
        <f aca="false">SQRT((C244-C243)^2+(D244-D243)^2+(E244-E243)^2)</f>
        <v>4.06386515543458</v>
      </c>
      <c r="I244" s="6" t="n">
        <f aca="false">MOD((2*180*(ATAN((C243-C244)/(D244-D243))*180/PI())/360), 360)</f>
        <v>304.695153542173</v>
      </c>
      <c r="J244" s="2" t="n">
        <f aca="false">ASIN((E244-E243)/H244)*180/PI()</f>
        <v>54.2952176844474</v>
      </c>
      <c r="L244" s="6" t="n">
        <f aca="false">C244-C243</f>
        <v>-1.95000000001164</v>
      </c>
      <c r="M244" s="6" t="n">
        <f aca="false">D244-D243</f>
        <v>-1.35000000055879</v>
      </c>
      <c r="N244" s="6" t="n">
        <f aca="false">(C244-C243)/(D244-D243)</f>
        <v>1.44444444385518</v>
      </c>
      <c r="O244" s="12" t="n">
        <f aca="false">ATAN((C244-C243)/(D244-D243))*180/PI()</f>
        <v>55.3048464578271</v>
      </c>
      <c r="P244" s="6" t="n">
        <f aca="false">IF(M244&lt;0,O244+180,IF(AND(M244&gt;0,L244&lt;0),O244+360,O244))</f>
        <v>235.304846457827</v>
      </c>
      <c r="Q244" s="6" t="n">
        <f aca="false">P244-1.437</f>
        <v>233.867846457827</v>
      </c>
      <c r="S244" s="6" t="n">
        <f aca="false">F244</f>
        <v>241</v>
      </c>
      <c r="T244" s="6" t="str">
        <f aca="false">G244</f>
        <v>DAV242</v>
      </c>
      <c r="U244" s="6" t="n">
        <f aca="false">H244</f>
        <v>4.06386515543458</v>
      </c>
      <c r="V244" s="6" t="n">
        <f aca="false">Q244</f>
        <v>233.867846457827</v>
      </c>
      <c r="W244" s="2" t="n">
        <f aca="false">J244</f>
        <v>54.2952176844474</v>
      </c>
    </row>
    <row r="245" customFormat="false" ht="12.8" hidden="false" customHeight="false" outlineLevel="0" collapsed="false">
      <c r="A245" s="6" t="s">
        <v>5</v>
      </c>
      <c r="B245" s="1" t="n">
        <v>243</v>
      </c>
      <c r="C245" s="2" t="n">
        <v>352510.81</v>
      </c>
      <c r="D245" s="2" t="n">
        <v>5261350.99</v>
      </c>
      <c r="E245" s="2" t="n">
        <v>2180.5</v>
      </c>
      <c r="F245" s="6" t="n">
        <f aca="false">B244</f>
        <v>242</v>
      </c>
      <c r="G245" s="7" t="str">
        <f aca="false">_xlfn.CONCAT("DAV",B245)</f>
        <v>DAV243</v>
      </c>
      <c r="H245" s="6" t="n">
        <f aca="false">SQRT((C245-C244)^2+(D245-D244)^2+(E245-E244)^2)</f>
        <v>5.01215522493547</v>
      </c>
      <c r="I245" s="6" t="n">
        <f aca="false">MOD((2*180*(ATAN((C244-C245)/(D245-D244))*180/PI())/360), 360)</f>
        <v>294.537728472665</v>
      </c>
      <c r="J245" s="2" t="n">
        <f aca="false">ASIN((E245-E244)/H245)*180/PI()</f>
        <v>24.7702980582329</v>
      </c>
      <c r="L245" s="6" t="n">
        <f aca="false">C245-C244</f>
        <v>-4.14000000001397</v>
      </c>
      <c r="M245" s="6" t="n">
        <f aca="false">D245-D244</f>
        <v>-1.88999999966472</v>
      </c>
      <c r="N245" s="6" t="n">
        <f aca="false">(C245-C244)/(D245-D244)</f>
        <v>2.19047619087216</v>
      </c>
      <c r="O245" s="12" t="n">
        <f aca="false">ATAN((C245-C244)/(D245-D244))*180/PI()</f>
        <v>65.4622715273351</v>
      </c>
      <c r="P245" s="6" t="n">
        <f aca="false">IF(M245&lt;0,O245+180,IF(AND(M245&gt;0,L245&lt;0),O245+360,O245))</f>
        <v>245.462271527335</v>
      </c>
      <c r="Q245" s="6" t="n">
        <f aca="false">P245-1.437</f>
        <v>244.025271527335</v>
      </c>
      <c r="S245" s="6" t="n">
        <f aca="false">F245</f>
        <v>242</v>
      </c>
      <c r="T245" s="6" t="str">
        <f aca="false">G245</f>
        <v>DAV243</v>
      </c>
      <c r="U245" s="6" t="n">
        <f aca="false">H245</f>
        <v>5.01215522493547</v>
      </c>
      <c r="V245" s="6" t="n">
        <f aca="false">Q245</f>
        <v>244.025271527335</v>
      </c>
      <c r="W245" s="2" t="n">
        <f aca="false">J245</f>
        <v>24.7702980582329</v>
      </c>
    </row>
    <row r="246" customFormat="false" ht="12.8" hidden="false" customHeight="false" outlineLevel="0" collapsed="false">
      <c r="A246" s="6" t="s">
        <v>5</v>
      </c>
      <c r="B246" s="1" t="n">
        <v>244</v>
      </c>
      <c r="C246" s="2" t="n">
        <v>352508.4</v>
      </c>
      <c r="D246" s="2" t="n">
        <v>5261349.45</v>
      </c>
      <c r="E246" s="2" t="n">
        <v>2181.6</v>
      </c>
      <c r="F246" s="6" t="n">
        <f aca="false">B245</f>
        <v>243</v>
      </c>
      <c r="G246" s="7" t="str">
        <f aca="false">_xlfn.CONCAT("DAV",B246)</f>
        <v>DAV244</v>
      </c>
      <c r="H246" s="6" t="n">
        <f aca="false">SQRT((C246-C245)^2+(D246-D245)^2+(E246-E245)^2)</f>
        <v>3.06426173816649</v>
      </c>
      <c r="I246" s="6" t="n">
        <f aca="false">MOD((2*180*(ATAN((C245-C246)/(D246-D245))*180/PI())/360), 360)</f>
        <v>302.578746591967</v>
      </c>
      <c r="J246" s="2" t="n">
        <f aca="false">ASIN((E246-E245)/H246)*180/PI()</f>
        <v>21.0373936793583</v>
      </c>
      <c r="L246" s="6" t="n">
        <f aca="false">C246-C245</f>
        <v>-2.40999999997439</v>
      </c>
      <c r="M246" s="6" t="n">
        <f aca="false">D246-D245</f>
        <v>-1.54000000003725</v>
      </c>
      <c r="N246" s="6" t="n">
        <f aca="false">(C246-C245)/(D246-D245)</f>
        <v>1.56493506488058</v>
      </c>
      <c r="O246" s="12" t="n">
        <f aca="false">ATAN((C246-C245)/(D246-D245))*180/PI()</f>
        <v>57.4212534080331</v>
      </c>
      <c r="P246" s="6" t="n">
        <f aca="false">IF(M246&lt;0,O246+180,IF(AND(M246&gt;0,L246&lt;0),O246+360,O246))</f>
        <v>237.421253408033</v>
      </c>
      <c r="Q246" s="6" t="n">
        <f aca="false">P246-1.437</f>
        <v>235.984253408033</v>
      </c>
      <c r="S246" s="6" t="n">
        <f aca="false">F246</f>
        <v>243</v>
      </c>
      <c r="T246" s="6" t="str">
        <f aca="false">G246</f>
        <v>DAV244</v>
      </c>
      <c r="U246" s="6" t="n">
        <f aca="false">H246</f>
        <v>3.06426173816649</v>
      </c>
      <c r="V246" s="6" t="n">
        <f aca="false">Q246</f>
        <v>235.984253408033</v>
      </c>
      <c r="W246" s="2" t="n">
        <f aca="false">J246</f>
        <v>21.0373936793583</v>
      </c>
    </row>
    <row r="247" customFormat="false" ht="12.8" hidden="false" customHeight="false" outlineLevel="0" collapsed="false">
      <c r="A247" s="6" t="s">
        <v>5</v>
      </c>
      <c r="B247" s="1" t="n">
        <v>245</v>
      </c>
      <c r="C247" s="2" t="n">
        <v>352507.24</v>
      </c>
      <c r="D247" s="2" t="n">
        <v>5261347.89</v>
      </c>
      <c r="E247" s="2" t="n">
        <v>2181.9</v>
      </c>
      <c r="F247" s="6" t="n">
        <f aca="false">B246</f>
        <v>244</v>
      </c>
      <c r="G247" s="7" t="str">
        <f aca="false">_xlfn.CONCAT("DAV",B247)</f>
        <v>DAV245</v>
      </c>
      <c r="H247" s="6" t="n">
        <f aca="false">SQRT((C247-C246)^2+(D247-D246)^2+(E247-E246)^2)</f>
        <v>1.96702821578719</v>
      </c>
      <c r="I247" s="6" t="n">
        <f aca="false">MOD((2*180*(ATAN((C246-C247)/(D247-D246))*180/PI())/360), 360)</f>
        <v>323.365886132434</v>
      </c>
      <c r="J247" s="2" t="n">
        <f aca="false">ASIN((E247-E246)/H247)*180/PI()</f>
        <v>8.77266416851798</v>
      </c>
      <c r="L247" s="6" t="n">
        <f aca="false">C247-C246</f>
        <v>-1.1600000000326</v>
      </c>
      <c r="M247" s="6" t="n">
        <f aca="false">D247-D246</f>
        <v>-1.56000000052154</v>
      </c>
      <c r="N247" s="6" t="n">
        <f aca="false">(C247-C246)/(D247-D246)</f>
        <v>0.743589743362041</v>
      </c>
      <c r="O247" s="12" t="n">
        <f aca="false">ATAN((C247-C246)/(D247-D246))*180/PI()</f>
        <v>36.6341138675662</v>
      </c>
      <c r="P247" s="6" t="n">
        <f aca="false">IF(M247&lt;0,O247+180,IF(AND(M247&gt;0,L247&lt;0),O247+360,O247))</f>
        <v>216.634113867566</v>
      </c>
      <c r="Q247" s="6" t="n">
        <f aca="false">P247-1.437</f>
        <v>215.197113867566</v>
      </c>
      <c r="S247" s="6" t="n">
        <f aca="false">F247</f>
        <v>244</v>
      </c>
      <c r="T247" s="6" t="str">
        <f aca="false">G247</f>
        <v>DAV245</v>
      </c>
      <c r="U247" s="6" t="n">
        <f aca="false">H247</f>
        <v>1.96702821578719</v>
      </c>
      <c r="V247" s="6" t="n">
        <f aca="false">Q247</f>
        <v>215.197113867566</v>
      </c>
      <c r="W247" s="2" t="n">
        <f aca="false">J247</f>
        <v>8.77266416851798</v>
      </c>
    </row>
    <row r="248" customFormat="false" ht="12.8" hidden="false" customHeight="false" outlineLevel="0" collapsed="false">
      <c r="A248" s="6" t="s">
        <v>5</v>
      </c>
      <c r="B248" s="1" t="n">
        <v>246</v>
      </c>
      <c r="C248" s="2" t="n">
        <v>352505.94</v>
      </c>
      <c r="D248" s="2" t="n">
        <v>5261346</v>
      </c>
      <c r="E248" s="2" t="n">
        <v>2182.7</v>
      </c>
      <c r="F248" s="6" t="n">
        <f aca="false">B247</f>
        <v>245</v>
      </c>
      <c r="G248" s="7" t="str">
        <f aca="false">_xlfn.CONCAT("DAV",B248)</f>
        <v>DAV246</v>
      </c>
      <c r="H248" s="6" t="n">
        <f aca="false">SQRT((C248-C247)^2+(D248-D247)^2+(E248-E247)^2)</f>
        <v>2.42942379973152</v>
      </c>
      <c r="I248" s="6" t="n">
        <f aca="false">MOD((2*180*(ATAN((C247-C248)/(D248-D247))*180/PI())/360), 360)</f>
        <v>325.478613115021</v>
      </c>
      <c r="J248" s="2" t="n">
        <f aca="false">ASIN((E248-E247)/H248)*180/PI()</f>
        <v>19.2260626377151</v>
      </c>
      <c r="L248" s="6" t="n">
        <f aca="false">C248-C247</f>
        <v>-1.29999999998836</v>
      </c>
      <c r="M248" s="6" t="n">
        <f aca="false">D248-D247</f>
        <v>-1.88999999966472</v>
      </c>
      <c r="N248" s="6" t="n">
        <f aca="false">(C248-C247)/(D248-D247)</f>
        <v>0.687830687946546</v>
      </c>
      <c r="O248" s="12" t="n">
        <f aca="false">ATAN((C248-C247)/(D248-D247))*180/PI()</f>
        <v>34.5213868849789</v>
      </c>
      <c r="P248" s="6" t="n">
        <f aca="false">IF(M248&lt;0,O248+180,IF(AND(M248&gt;0,L248&lt;0),O248+360,O248))</f>
        <v>214.521386884979</v>
      </c>
      <c r="Q248" s="6" t="n">
        <f aca="false">P248-1.437</f>
        <v>213.084386884979</v>
      </c>
      <c r="S248" s="6" t="n">
        <f aca="false">F248</f>
        <v>245</v>
      </c>
      <c r="T248" s="6" t="str">
        <f aca="false">G248</f>
        <v>DAV246</v>
      </c>
      <c r="U248" s="6" t="n">
        <f aca="false">H248</f>
        <v>2.42942379973152</v>
      </c>
      <c r="V248" s="6" t="n">
        <f aca="false">Q248</f>
        <v>213.084386884979</v>
      </c>
      <c r="W248" s="2" t="n">
        <f aca="false">J248</f>
        <v>19.2260626377151</v>
      </c>
    </row>
    <row r="249" customFormat="false" ht="12.8" hidden="false" customHeight="false" outlineLevel="0" collapsed="false">
      <c r="A249" s="6" t="s">
        <v>5</v>
      </c>
      <c r="B249" s="1" t="n">
        <v>247</v>
      </c>
      <c r="C249" s="2" t="n">
        <v>352503.65</v>
      </c>
      <c r="D249" s="2" t="n">
        <v>5261340.95</v>
      </c>
      <c r="E249" s="2" t="n">
        <v>2182.7</v>
      </c>
      <c r="F249" s="6" t="n">
        <f aca="false">B248</f>
        <v>246</v>
      </c>
      <c r="G249" s="7" t="str">
        <f aca="false">_xlfn.CONCAT("DAV",B249)</f>
        <v>DAV247</v>
      </c>
      <c r="H249" s="6" t="n">
        <f aca="false">SQRT((C249-C248)^2+(D249-D248)^2+(E249-E248)^2)</f>
        <v>5.54496167687593</v>
      </c>
      <c r="I249" s="6" t="n">
        <f aca="false">MOD((2*180*(ATAN((C248-C249)/(D249-D248))*180/PI())/360), 360)</f>
        <v>335.607354858565</v>
      </c>
      <c r="J249" s="2" t="n">
        <f aca="false">ASIN((E249-E248)/H249)*180/PI()</f>
        <v>0</v>
      </c>
      <c r="L249" s="6" t="n">
        <f aca="false">C249-C248</f>
        <v>-2.28999999997905</v>
      </c>
      <c r="M249" s="6" t="n">
        <f aca="false">D249-D248</f>
        <v>-5.04999999981374</v>
      </c>
      <c r="N249" s="6" t="n">
        <f aca="false">(C249-C248)/(D249-D248)</f>
        <v>0.45346534654723</v>
      </c>
      <c r="O249" s="12" t="n">
        <f aca="false">ATAN((C249-C248)/(D249-D248))*180/PI()</f>
        <v>24.392645141435</v>
      </c>
      <c r="P249" s="6" t="n">
        <f aca="false">IF(M249&lt;0,O249+180,IF(AND(M249&gt;0,L249&lt;0),O249+360,O249))</f>
        <v>204.392645141435</v>
      </c>
      <c r="Q249" s="6" t="n">
        <f aca="false">P249-1.437</f>
        <v>202.955645141435</v>
      </c>
      <c r="S249" s="6" t="n">
        <f aca="false">F249</f>
        <v>246</v>
      </c>
      <c r="T249" s="6" t="str">
        <f aca="false">G249</f>
        <v>DAV247</v>
      </c>
      <c r="U249" s="6" t="n">
        <f aca="false">H249</f>
        <v>5.54496167687593</v>
      </c>
      <c r="V249" s="6" t="n">
        <f aca="false">Q249</f>
        <v>202.955645141435</v>
      </c>
      <c r="W249" s="2" t="n">
        <f aca="false">J249</f>
        <v>0</v>
      </c>
    </row>
    <row r="250" customFormat="false" ht="12.8" hidden="false" customHeight="false" outlineLevel="0" collapsed="false">
      <c r="A250" s="6" t="s">
        <v>5</v>
      </c>
      <c r="B250" s="1" t="n">
        <v>248</v>
      </c>
      <c r="C250" s="2" t="n">
        <v>352500.34</v>
      </c>
      <c r="D250" s="2" t="n">
        <v>5261337.85</v>
      </c>
      <c r="E250" s="2" t="n">
        <v>2185</v>
      </c>
      <c r="F250" s="6" t="n">
        <f aca="false">B249</f>
        <v>247</v>
      </c>
      <c r="G250" s="7" t="str">
        <f aca="false">_xlfn.CONCAT("DAV",B250)</f>
        <v>DAV248</v>
      </c>
      <c r="H250" s="6" t="n">
        <f aca="false">SQRT((C250-C249)^2+(D250-D249)^2+(E250-E249)^2)</f>
        <v>5.08488937966697</v>
      </c>
      <c r="I250" s="6" t="n">
        <f aca="false">MOD((2*180*(ATAN((C249-C250)/(D250-D249))*180/PI())/360), 360)</f>
        <v>313.123586313336</v>
      </c>
      <c r="J250" s="2" t="n">
        <f aca="false">ASIN((E250-E249)/H250)*180/PI()</f>
        <v>26.8926662794699</v>
      </c>
      <c r="L250" s="6" t="n">
        <f aca="false">C250-C249</f>
        <v>-3.30999999999767</v>
      </c>
      <c r="M250" s="6" t="n">
        <f aca="false">D250-D249</f>
        <v>-3.10000000055879</v>
      </c>
      <c r="N250" s="6" t="n">
        <f aca="false">(C250-C249)/(D250-D249)</f>
        <v>1.06774193529065</v>
      </c>
      <c r="O250" s="12" t="n">
        <f aca="false">ATAN((C250-C249)/(D250-D249))*180/PI()</f>
        <v>46.8764136866644</v>
      </c>
      <c r="P250" s="6" t="n">
        <f aca="false">IF(M250&lt;0,O250+180,IF(AND(M250&gt;0,L250&lt;0),O250+360,O250))</f>
        <v>226.876413686664</v>
      </c>
      <c r="Q250" s="6" t="n">
        <f aca="false">P250-1.437</f>
        <v>225.439413686664</v>
      </c>
      <c r="S250" s="6" t="n">
        <f aca="false">F250</f>
        <v>247</v>
      </c>
      <c r="T250" s="6" t="str">
        <f aca="false">G250</f>
        <v>DAV248</v>
      </c>
      <c r="U250" s="6" t="n">
        <f aca="false">H250</f>
        <v>5.08488937966697</v>
      </c>
      <c r="V250" s="6" t="n">
        <f aca="false">Q250</f>
        <v>225.439413686664</v>
      </c>
      <c r="W250" s="2" t="n">
        <f aca="false">J250</f>
        <v>26.8926662794699</v>
      </c>
    </row>
    <row r="251" customFormat="false" ht="12.8" hidden="false" customHeight="false" outlineLevel="0" collapsed="false">
      <c r="A251" s="6" t="s">
        <v>5</v>
      </c>
      <c r="B251" s="1" t="n">
        <v>249</v>
      </c>
      <c r="C251" s="2" t="n">
        <v>352496.8</v>
      </c>
      <c r="D251" s="2" t="n">
        <v>5261336.34</v>
      </c>
      <c r="E251" s="2" t="n">
        <v>2187</v>
      </c>
      <c r="F251" s="6" t="n">
        <f aca="false">B250</f>
        <v>248</v>
      </c>
      <c r="G251" s="7" t="str">
        <f aca="false">_xlfn.CONCAT("DAV",B251)</f>
        <v>DAV249</v>
      </c>
      <c r="H251" s="6" t="n">
        <f aca="false">SQRT((C251-C250)^2+(D251-D250)^2+(E251-E250)^2)</f>
        <v>4.33724566972967</v>
      </c>
      <c r="I251" s="6" t="n">
        <f aca="false">MOD((2*180*(ATAN((C250-C251)/(D251-D250))*180/PI())/360), 360)</f>
        <v>293.100849596118</v>
      </c>
      <c r="J251" s="2" t="n">
        <f aca="false">ASIN((E251-E250)/H251)*180/PI()</f>
        <v>27.4595408048829</v>
      </c>
      <c r="L251" s="6" t="n">
        <f aca="false">C251-C250</f>
        <v>-3.54000000003725</v>
      </c>
      <c r="M251" s="6" t="n">
        <f aca="false">D251-D250</f>
        <v>-1.50999999977648</v>
      </c>
      <c r="N251" s="6" t="n">
        <f aca="false">(C251-C250)/(D251-D250)</f>
        <v>2.34437086129885</v>
      </c>
      <c r="O251" s="12" t="n">
        <f aca="false">ATAN((C251-C250)/(D251-D250))*180/PI()</f>
        <v>66.8991504038818</v>
      </c>
      <c r="P251" s="6" t="n">
        <f aca="false">IF(M251&lt;0,O251+180,IF(AND(M251&gt;0,L251&lt;0),O251+360,O251))</f>
        <v>246.899150403882</v>
      </c>
      <c r="Q251" s="6" t="n">
        <f aca="false">P251-1.437</f>
        <v>245.462150403882</v>
      </c>
      <c r="S251" s="6" t="n">
        <f aca="false">F251</f>
        <v>248</v>
      </c>
      <c r="T251" s="6" t="str">
        <f aca="false">G251</f>
        <v>DAV249</v>
      </c>
      <c r="U251" s="6" t="n">
        <f aca="false">H251</f>
        <v>4.33724566972967</v>
      </c>
      <c r="V251" s="6" t="n">
        <f aca="false">Q251</f>
        <v>245.462150403882</v>
      </c>
      <c r="W251" s="2" t="n">
        <f aca="false">J251</f>
        <v>27.4595408048829</v>
      </c>
    </row>
    <row r="252" customFormat="false" ht="12.8" hidden="false" customHeight="false" outlineLevel="0" collapsed="false">
      <c r="A252" s="6" t="s">
        <v>5</v>
      </c>
      <c r="B252" s="1" t="n">
        <v>250</v>
      </c>
      <c r="C252" s="2" t="n">
        <v>352491.23</v>
      </c>
      <c r="D252" s="2" t="n">
        <v>5261335.33</v>
      </c>
      <c r="E252" s="2" t="n">
        <v>2189.8</v>
      </c>
      <c r="F252" s="6" t="n">
        <f aca="false">B251</f>
        <v>249</v>
      </c>
      <c r="G252" s="7" t="str">
        <f aca="false">_xlfn.CONCAT("DAV",B252)</f>
        <v>DAV250</v>
      </c>
      <c r="H252" s="6" t="n">
        <f aca="false">SQRT((C252-C251)^2+(D252-D251)^2+(E252-E251)^2)</f>
        <v>6.31545722807362</v>
      </c>
      <c r="I252" s="6" t="n">
        <f aca="false">MOD((2*180*(ATAN((C251-C252)/(D252-D251))*180/PI())/360), 360)</f>
        <v>280.277687780216</v>
      </c>
      <c r="J252" s="2" t="n">
        <f aca="false">ASIN((E252-E251)/H252)*180/PI()</f>
        <v>26.3182459623884</v>
      </c>
      <c r="L252" s="6" t="n">
        <f aca="false">C252-C251</f>
        <v>-5.57000000000699</v>
      </c>
      <c r="M252" s="6" t="n">
        <f aca="false">D252-D251</f>
        <v>-1.00999999977648</v>
      </c>
      <c r="N252" s="6" t="n">
        <f aca="false">(C252-C251)/(D252-D251)</f>
        <v>5.51485148637589</v>
      </c>
      <c r="O252" s="12" t="n">
        <f aca="false">ATAN((C252-C251)/(D252-D251))*180/PI()</f>
        <v>79.7223122197842</v>
      </c>
      <c r="P252" s="6" t="n">
        <f aca="false">IF(M252&lt;0,O252+180,IF(AND(M252&gt;0,L252&lt;0),O252+360,O252))</f>
        <v>259.722312219784</v>
      </c>
      <c r="Q252" s="6" t="n">
        <f aca="false">P252-1.437</f>
        <v>258.285312219784</v>
      </c>
      <c r="S252" s="6" t="n">
        <f aca="false">F252</f>
        <v>249</v>
      </c>
      <c r="T252" s="6" t="str">
        <f aca="false">G252</f>
        <v>DAV250</v>
      </c>
      <c r="U252" s="6" t="n">
        <f aca="false">H252</f>
        <v>6.31545722807362</v>
      </c>
      <c r="V252" s="6" t="n">
        <f aca="false">Q252</f>
        <v>258.285312219784</v>
      </c>
      <c r="W252" s="2" t="n">
        <f aca="false">J252</f>
        <v>26.3182459623884</v>
      </c>
    </row>
    <row r="253" customFormat="false" ht="12.8" hidden="false" customHeight="false" outlineLevel="0" collapsed="false">
      <c r="A253" s="6" t="s">
        <v>5</v>
      </c>
      <c r="B253" s="1" t="n">
        <v>251</v>
      </c>
      <c r="C253" s="2" t="n">
        <v>352487.39</v>
      </c>
      <c r="D253" s="2" t="n">
        <v>5261335.28</v>
      </c>
      <c r="E253" s="2" t="n">
        <v>2191.4</v>
      </c>
      <c r="F253" s="6" t="n">
        <f aca="false">B252</f>
        <v>250</v>
      </c>
      <c r="G253" s="7" t="str">
        <f aca="false">_xlfn.CONCAT("DAV",B253)</f>
        <v>DAV251</v>
      </c>
      <c r="H253" s="6" t="n">
        <f aca="false">SQRT((C253-C252)^2+(D253-D252)^2+(E253-E252)^2)</f>
        <v>4.16030046988565</v>
      </c>
      <c r="I253" s="6" t="n">
        <f aca="false">MOD((2*180*(ATAN((C252-C253)/(D253-D252))*180/PI())/360), 360)</f>
        <v>270.745996635598</v>
      </c>
      <c r="J253" s="2" t="n">
        <f aca="false">ASIN((E253-E252)/H253)*180/PI()</f>
        <v>22.6181407588333</v>
      </c>
      <c r="L253" s="6" t="n">
        <f aca="false">C253-C252</f>
        <v>-3.8399999999674</v>
      </c>
      <c r="M253" s="6" t="n">
        <f aca="false">D253-D252</f>
        <v>-0.0499999998137355</v>
      </c>
      <c r="N253" s="6" t="n">
        <f aca="false">(C253-C252)/(D253-D252)</f>
        <v>76.8000002854504</v>
      </c>
      <c r="O253" s="12" t="n">
        <f aca="false">ATAN((C253-C252)/(D253-D252))*180/PI()</f>
        <v>89.2540033644023</v>
      </c>
      <c r="P253" s="6" t="n">
        <f aca="false">IF(M253&lt;0,O253+180,IF(AND(M253&gt;0,L253&lt;0),O253+360,O253))</f>
        <v>269.254003364402</v>
      </c>
      <c r="Q253" s="6" t="n">
        <f aca="false">P253-1.437</f>
        <v>267.817003364402</v>
      </c>
      <c r="S253" s="6" t="n">
        <f aca="false">F253</f>
        <v>250</v>
      </c>
      <c r="T253" s="6" t="str">
        <f aca="false">G253</f>
        <v>DAV251</v>
      </c>
      <c r="U253" s="6" t="n">
        <f aca="false">H253</f>
        <v>4.16030046988565</v>
      </c>
      <c r="V253" s="6" t="n">
        <f aca="false">Q253</f>
        <v>267.817003364402</v>
      </c>
      <c r="W253" s="2" t="n">
        <f aca="false">J253</f>
        <v>22.6181407588333</v>
      </c>
    </row>
    <row r="254" customFormat="false" ht="12.8" hidden="false" customHeight="false" outlineLevel="0" collapsed="false">
      <c r="A254" s="6" t="s">
        <v>5</v>
      </c>
      <c r="B254" s="1" t="n">
        <v>252</v>
      </c>
      <c r="C254" s="2" t="n">
        <v>352480.84</v>
      </c>
      <c r="D254" s="2" t="n">
        <v>5261335.29</v>
      </c>
      <c r="E254" s="2" t="n">
        <v>2192.9</v>
      </c>
      <c r="F254" s="6" t="n">
        <f aca="false">B253</f>
        <v>251</v>
      </c>
      <c r="G254" s="7" t="str">
        <f aca="false">_xlfn.CONCAT("DAV",B254)</f>
        <v>DAV252</v>
      </c>
      <c r="H254" s="6" t="n">
        <f aca="false">SQRT((C254-C253)^2+(D254-D253)^2+(E254-E253)^2)</f>
        <v>6.71956843851173</v>
      </c>
      <c r="I254" s="6" t="n">
        <f aca="false">MOD((2*180*(ATAN((C253-C254)/(D254-D253))*180/PI())/360), 360)</f>
        <v>89.9125255973797</v>
      </c>
      <c r="J254" s="2" t="n">
        <f aca="false">ASIN((E254-E253)/H254)*180/PI()</f>
        <v>12.8987365743731</v>
      </c>
      <c r="L254" s="6" t="n">
        <f aca="false">C254-C253</f>
        <v>-6.54999999998836</v>
      </c>
      <c r="M254" s="6" t="n">
        <f aca="false">D254-D253</f>
        <v>0.00999999977648258</v>
      </c>
      <c r="N254" s="6" t="n">
        <f aca="false">(C254-C253)/(D254-D253)</f>
        <v>-655.000014639227</v>
      </c>
      <c r="O254" s="12" t="n">
        <f aca="false">ATAN((C254-C253)/(D254-D253))*180/PI()</f>
        <v>-89.9125255973797</v>
      </c>
      <c r="P254" s="6" t="n">
        <f aca="false">IF(M254&lt;0,O254+180,IF(AND(M254&gt;0,L254&lt;0),O254+360,O254))</f>
        <v>270.08747440262</v>
      </c>
      <c r="Q254" s="6" t="n">
        <f aca="false">P254-1.437</f>
        <v>268.65047440262</v>
      </c>
      <c r="S254" s="6" t="n">
        <f aca="false">F254</f>
        <v>251</v>
      </c>
      <c r="T254" s="6" t="str">
        <f aca="false">G254</f>
        <v>DAV252</v>
      </c>
      <c r="U254" s="6" t="n">
        <f aca="false">H254</f>
        <v>6.71956843851173</v>
      </c>
      <c r="V254" s="6" t="n">
        <f aca="false">Q254</f>
        <v>268.65047440262</v>
      </c>
      <c r="W254" s="2" t="n">
        <f aca="false">J254</f>
        <v>12.8987365743731</v>
      </c>
    </row>
    <row r="255" customFormat="false" ht="12.8" hidden="false" customHeight="false" outlineLevel="0" collapsed="false">
      <c r="A255" s="6" t="s">
        <v>5</v>
      </c>
      <c r="B255" s="1" t="n">
        <v>253</v>
      </c>
      <c r="C255" s="2" t="n">
        <v>352474.27</v>
      </c>
      <c r="D255" s="2" t="n">
        <v>5261333.98</v>
      </c>
      <c r="E255" s="2" t="n">
        <v>2196.2</v>
      </c>
      <c r="F255" s="6" t="n">
        <f aca="false">B254</f>
        <v>252</v>
      </c>
      <c r="G255" s="7" t="str">
        <f aca="false">_xlfn.CONCAT("DAV",B255)</f>
        <v>DAV253</v>
      </c>
      <c r="H255" s="6" t="n">
        <f aca="false">SQRT((C255-C254)^2+(D255-D254)^2+(E255-E254)^2)</f>
        <v>7.46799839307805</v>
      </c>
      <c r="I255" s="6" t="n">
        <f aca="false">MOD((2*180*(ATAN((C254-C255)/(D255-D254))*180/PI())/360), 360)</f>
        <v>281.276386936048</v>
      </c>
      <c r="J255" s="2" t="n">
        <f aca="false">ASIN((E255-E254)/H255)*180/PI()</f>
        <v>26.224243723021</v>
      </c>
      <c r="L255" s="6" t="n">
        <f aca="false">C255-C254</f>
        <v>-6.57000000000699</v>
      </c>
      <c r="M255" s="6" t="n">
        <f aca="false">D255-D254</f>
        <v>-1.30999999959022</v>
      </c>
      <c r="N255" s="6" t="n">
        <f aca="false">(C255-C254)/(D255-D254)</f>
        <v>5.01526717714668</v>
      </c>
      <c r="O255" s="12" t="n">
        <f aca="false">ATAN((C255-C254)/(D255-D254))*180/PI()</f>
        <v>78.7236130639521</v>
      </c>
      <c r="P255" s="6" t="n">
        <f aca="false">IF(M255&lt;0,O255+180,IF(AND(M255&gt;0,L255&lt;0),O255+360,O255))</f>
        <v>258.723613063952</v>
      </c>
      <c r="Q255" s="6" t="n">
        <f aca="false">P255-1.437</f>
        <v>257.286613063952</v>
      </c>
      <c r="S255" s="6" t="n">
        <f aca="false">F255</f>
        <v>252</v>
      </c>
      <c r="T255" s="6" t="str">
        <f aca="false">G255</f>
        <v>DAV253</v>
      </c>
      <c r="U255" s="6" t="n">
        <f aca="false">H255</f>
        <v>7.46799839307805</v>
      </c>
      <c r="V255" s="6" t="n">
        <f aca="false">Q255</f>
        <v>257.286613063952</v>
      </c>
      <c r="W255" s="2" t="n">
        <f aca="false">J255</f>
        <v>26.224243723021</v>
      </c>
    </row>
    <row r="256" customFormat="false" ht="12.8" hidden="false" customHeight="false" outlineLevel="0" collapsed="false">
      <c r="A256" s="6" t="s">
        <v>5</v>
      </c>
      <c r="B256" s="1" t="n">
        <v>254</v>
      </c>
      <c r="C256" s="2" t="n">
        <v>352471.43</v>
      </c>
      <c r="D256" s="2" t="n">
        <v>5261334.04</v>
      </c>
      <c r="E256" s="2" t="n">
        <v>2197.6</v>
      </c>
      <c r="F256" s="6" t="n">
        <f aca="false">B255</f>
        <v>253</v>
      </c>
      <c r="G256" s="7" t="str">
        <f aca="false">_xlfn.CONCAT("DAV",B256)</f>
        <v>DAV254</v>
      </c>
      <c r="H256" s="6" t="n">
        <f aca="false">SQRT((C256-C255)^2+(D256-D255)^2+(E256-E255)^2)</f>
        <v>3.1668912201237</v>
      </c>
      <c r="I256" s="6" t="n">
        <f aca="false">MOD((2*180*(ATAN((C255-C256)/(D256-D255))*180/PI())/360), 360)</f>
        <v>88.7897058393532</v>
      </c>
      <c r="J256" s="2" t="n">
        <f aca="false">ASIN((E256-E255)/H256)*180/PI()</f>
        <v>26.236280117926</v>
      </c>
      <c r="L256" s="6" t="n">
        <f aca="false">C256-C255</f>
        <v>-2.84000000002561</v>
      </c>
      <c r="M256" s="6" t="n">
        <f aca="false">D256-D255</f>
        <v>0.0599999995902181</v>
      </c>
      <c r="N256" s="6" t="n">
        <f aca="false">(C256-C255)/(D256-D255)</f>
        <v>-47.3333336570326</v>
      </c>
      <c r="O256" s="12" t="n">
        <f aca="false">ATAN((C256-C255)/(D256-D255))*180/PI()</f>
        <v>-88.7897058393532</v>
      </c>
      <c r="P256" s="6" t="n">
        <f aca="false">IF(M256&lt;0,O256+180,IF(AND(M256&gt;0,L256&lt;0),O256+360,O256))</f>
        <v>271.210294160647</v>
      </c>
      <c r="Q256" s="6" t="n">
        <f aca="false">P256-1.437</f>
        <v>269.773294160647</v>
      </c>
      <c r="S256" s="6" t="n">
        <f aca="false">F256</f>
        <v>253</v>
      </c>
      <c r="T256" s="6" t="str">
        <f aca="false">G256</f>
        <v>DAV254</v>
      </c>
      <c r="U256" s="6" t="n">
        <f aca="false">H256</f>
        <v>3.1668912201237</v>
      </c>
      <c r="V256" s="6" t="n">
        <f aca="false">Q256</f>
        <v>269.773294160647</v>
      </c>
      <c r="W256" s="2" t="n">
        <f aca="false">J256</f>
        <v>26.236280117926</v>
      </c>
    </row>
    <row r="257" customFormat="false" ht="12.8" hidden="false" customHeight="false" outlineLevel="0" collapsed="false">
      <c r="A257" s="6" t="s">
        <v>5</v>
      </c>
      <c r="B257" s="1" t="n">
        <v>255</v>
      </c>
      <c r="C257" s="2" t="n">
        <v>352467.61</v>
      </c>
      <c r="D257" s="2" t="n">
        <v>5261334.85</v>
      </c>
      <c r="E257" s="2" t="n">
        <v>2198.7</v>
      </c>
      <c r="F257" s="6" t="n">
        <f aca="false">B256</f>
        <v>254</v>
      </c>
      <c r="G257" s="7" t="str">
        <f aca="false">_xlfn.CONCAT("DAV",B257)</f>
        <v>DAV255</v>
      </c>
      <c r="H257" s="6" t="n">
        <f aca="false">SQRT((C257-C256)^2+(D257-D256)^2+(E257-E256)^2)</f>
        <v>4.05690768928618</v>
      </c>
      <c r="I257" s="6" t="n">
        <f aca="false">MOD((2*180*(ATAN((C256-C257)/(D257-D256))*180/PI())/360), 360)</f>
        <v>78.0282170477244</v>
      </c>
      <c r="J257" s="2" t="n">
        <f aca="false">ASIN((E257-E256)/H257)*180/PI()</f>
        <v>15.7322621982102</v>
      </c>
      <c r="L257" s="6" t="n">
        <f aca="false">C257-C256</f>
        <v>-3.82000000000699</v>
      </c>
      <c r="M257" s="6" t="n">
        <f aca="false">D257-D256</f>
        <v>0.809999999590218</v>
      </c>
      <c r="N257" s="6" t="n">
        <f aca="false">(C257-C256)/(D257-D256)</f>
        <v>-4.71604938511054</v>
      </c>
      <c r="O257" s="12" t="n">
        <f aca="false">ATAN((C257-C256)/(D257-D256))*180/PI()</f>
        <v>-78.0282170477244</v>
      </c>
      <c r="P257" s="6" t="n">
        <f aca="false">IF(M257&lt;0,O257+180,IF(AND(M257&gt;0,L257&lt;0),O257+360,O257))</f>
        <v>281.971782952276</v>
      </c>
      <c r="Q257" s="6" t="n">
        <f aca="false">P257-1.437</f>
        <v>280.534782952276</v>
      </c>
      <c r="S257" s="6" t="n">
        <f aca="false">F257</f>
        <v>254</v>
      </c>
      <c r="T257" s="6" t="str">
        <f aca="false">G257</f>
        <v>DAV255</v>
      </c>
      <c r="U257" s="6" t="n">
        <f aca="false">H257</f>
        <v>4.05690768928618</v>
      </c>
      <c r="V257" s="6" t="n">
        <f aca="false">Q257</f>
        <v>280.534782952276</v>
      </c>
      <c r="W257" s="2" t="n">
        <f aca="false">J257</f>
        <v>15.7322621982102</v>
      </c>
    </row>
    <row r="258" customFormat="false" ht="12.8" hidden="false" customHeight="false" outlineLevel="0" collapsed="false">
      <c r="A258" s="6" t="s">
        <v>5</v>
      </c>
      <c r="B258" s="1" t="n">
        <v>256</v>
      </c>
      <c r="C258" s="2" t="n">
        <v>352445.93</v>
      </c>
      <c r="D258" s="2" t="n">
        <v>5261342.06</v>
      </c>
      <c r="E258" s="2" t="n">
        <v>2200</v>
      </c>
      <c r="F258" s="6" t="n">
        <f aca="false">B257</f>
        <v>255</v>
      </c>
      <c r="G258" s="7" t="str">
        <f aca="false">_xlfn.CONCAT("DAV",B258)</f>
        <v>DAV256</v>
      </c>
      <c r="H258" s="6" t="n">
        <f aca="false">SQRT((C258-C257)^2+(D258-D257)^2+(E258-E257)^2)</f>
        <v>22.8844160947829</v>
      </c>
      <c r="I258" s="6" t="n">
        <f aca="false">MOD((2*180*(ATAN((C257-C258)/(D258-D257))*180/PI())/360), 360)</f>
        <v>71.6047022293178</v>
      </c>
      <c r="J258" s="2" t="n">
        <f aca="false">ASIN((E258-E257)/H258)*180/PI()</f>
        <v>3.25656692940331</v>
      </c>
      <c r="L258" s="6" t="n">
        <f aca="false">C258-C257</f>
        <v>-21.679999999993</v>
      </c>
      <c r="M258" s="6" t="n">
        <f aca="false">D258-D257</f>
        <v>7.20999999996275</v>
      </c>
      <c r="N258" s="6" t="n">
        <f aca="false">(C258-C257)/(D258-D257)</f>
        <v>-3.00693481277462</v>
      </c>
      <c r="O258" s="12" t="n">
        <f aca="false">ATAN((C258-C257)/(D258-D257))*180/PI()</f>
        <v>-71.6047022293178</v>
      </c>
      <c r="P258" s="6" t="n">
        <f aca="false">IF(M258&lt;0,O258+180,IF(AND(M258&gt;0,L258&lt;0),O258+360,O258))</f>
        <v>288.395297770682</v>
      </c>
      <c r="Q258" s="6" t="n">
        <f aca="false">P258-1.437</f>
        <v>286.958297770682</v>
      </c>
      <c r="S258" s="6" t="n">
        <f aca="false">F258</f>
        <v>255</v>
      </c>
      <c r="T258" s="6" t="str">
        <f aca="false">G258</f>
        <v>DAV256</v>
      </c>
      <c r="U258" s="6" t="n">
        <f aca="false">H258</f>
        <v>22.8844160947829</v>
      </c>
      <c r="V258" s="6" t="n">
        <f aca="false">Q258</f>
        <v>286.958297770682</v>
      </c>
      <c r="W258" s="2" t="n">
        <f aca="false">J258</f>
        <v>3.25656692940331</v>
      </c>
    </row>
    <row r="259" customFormat="false" ht="12.8" hidden="false" customHeight="false" outlineLevel="0" collapsed="false">
      <c r="A259" s="6" t="s">
        <v>5</v>
      </c>
      <c r="B259" s="1" t="n">
        <v>257</v>
      </c>
      <c r="C259" s="2" t="n">
        <v>352435.27</v>
      </c>
      <c r="D259" s="2" t="n">
        <v>5261347.98</v>
      </c>
      <c r="E259" s="2" t="n">
        <v>2201.6</v>
      </c>
      <c r="F259" s="6" t="n">
        <f aca="false">B258</f>
        <v>256</v>
      </c>
      <c r="G259" s="7" t="str">
        <f aca="false">_xlfn.CONCAT("DAV",B259)</f>
        <v>DAV257</v>
      </c>
      <c r="H259" s="6" t="n">
        <f aca="false">SQRT((C259-C258)^2+(D259-D258)^2+(E259-E258)^2)</f>
        <v>12.2980486260869</v>
      </c>
      <c r="I259" s="6" t="n">
        <f aca="false">MOD((2*180*(ATAN((C258-C259)/(D259-D258))*180/PI())/360), 360)</f>
        <v>60.9545237894951</v>
      </c>
      <c r="J259" s="2" t="n">
        <f aca="false">ASIN((E259-E258)/H259)*180/PI()</f>
        <v>7.47548314956618</v>
      </c>
      <c r="L259" s="6" t="n">
        <f aca="false">C259-C258</f>
        <v>-10.6599999999744</v>
      </c>
      <c r="M259" s="6" t="n">
        <f aca="false">D259-D258</f>
        <v>5.92000000085682</v>
      </c>
      <c r="N259" s="6" t="n">
        <f aca="false">(C259-C258)/(D259-D258)</f>
        <v>-1.80067567541073</v>
      </c>
      <c r="O259" s="12" t="n">
        <f aca="false">ATAN((C259-C258)/(D259-D258))*180/PI()</f>
        <v>-60.9545237894951</v>
      </c>
      <c r="P259" s="6" t="n">
        <f aca="false">IF(M259&lt;0,O259+180,IF(AND(M259&gt;0,L259&lt;0),O259+360,O259))</f>
        <v>299.045476210505</v>
      </c>
      <c r="Q259" s="6" t="n">
        <f aca="false">P259-1.437</f>
        <v>297.608476210505</v>
      </c>
      <c r="S259" s="6" t="n">
        <f aca="false">F259</f>
        <v>256</v>
      </c>
      <c r="T259" s="6" t="str">
        <f aca="false">G259</f>
        <v>DAV257</v>
      </c>
      <c r="U259" s="6" t="n">
        <f aca="false">H259</f>
        <v>12.2980486260869</v>
      </c>
      <c r="V259" s="6" t="n">
        <f aca="false">Q259</f>
        <v>297.608476210505</v>
      </c>
      <c r="W259" s="2" t="n">
        <f aca="false">J259</f>
        <v>7.47548314956618</v>
      </c>
    </row>
    <row r="260" customFormat="false" ht="12.8" hidden="false" customHeight="false" outlineLevel="0" collapsed="false">
      <c r="A260" s="6" t="s">
        <v>5</v>
      </c>
      <c r="B260" s="1" t="n">
        <v>258</v>
      </c>
      <c r="C260" s="2" t="n">
        <v>352432.97</v>
      </c>
      <c r="D260" s="2" t="n">
        <v>5261348.95</v>
      </c>
      <c r="E260" s="2" t="n">
        <v>2202.5</v>
      </c>
      <c r="F260" s="6" t="n">
        <f aca="false">B259</f>
        <v>257</v>
      </c>
      <c r="G260" s="7" t="str">
        <f aca="false">_xlfn.CONCAT("DAV",B260)</f>
        <v>DAV258</v>
      </c>
      <c r="H260" s="6" t="n">
        <f aca="false">SQRT((C260-C259)^2+(D260-D259)^2+(E260-E259)^2)</f>
        <v>2.6534694269406</v>
      </c>
      <c r="I260" s="6" t="n">
        <f aca="false">MOD((2*180*(ATAN((C259-C260)/(D260-D259))*180/PI())/360), 360)</f>
        <v>67.1329437061578</v>
      </c>
      <c r="J260" s="2" t="n">
        <f aca="false">ASIN((E260-E259)/H260)*180/PI()</f>
        <v>19.826836811941</v>
      </c>
      <c r="L260" s="6" t="n">
        <f aca="false">C260-C259</f>
        <v>-2.30000000004657</v>
      </c>
      <c r="M260" s="6" t="n">
        <f aca="false">D260-D259</f>
        <v>0.96999999973923</v>
      </c>
      <c r="N260" s="6" t="n">
        <f aca="false">(C260-C259)/(D260-D259)</f>
        <v>-2.37113402130401</v>
      </c>
      <c r="O260" s="12" t="n">
        <f aca="false">ATAN((C260-C259)/(D260-D259))*180/PI()</f>
        <v>-67.1329437061578</v>
      </c>
      <c r="P260" s="6" t="n">
        <f aca="false">IF(M260&lt;0,O260+180,IF(AND(M260&gt;0,L260&lt;0),O260+360,O260))</f>
        <v>292.867056293842</v>
      </c>
      <c r="Q260" s="6" t="n">
        <f aca="false">P260-1.437</f>
        <v>291.430056293842</v>
      </c>
      <c r="S260" s="6" t="n">
        <f aca="false">F260</f>
        <v>257</v>
      </c>
      <c r="T260" s="6" t="str">
        <f aca="false">G260</f>
        <v>DAV258</v>
      </c>
      <c r="U260" s="6" t="n">
        <f aca="false">H260</f>
        <v>2.6534694269406</v>
      </c>
      <c r="V260" s="6" t="n">
        <f aca="false">Q260</f>
        <v>291.430056293842</v>
      </c>
      <c r="W260" s="2" t="n">
        <f aca="false">J260</f>
        <v>19.826836811941</v>
      </c>
    </row>
    <row r="261" customFormat="false" ht="12.8" hidden="false" customHeight="false" outlineLevel="0" collapsed="false">
      <c r="A261" s="6" t="s">
        <v>5</v>
      </c>
      <c r="B261" s="1" t="n">
        <v>259</v>
      </c>
      <c r="C261" s="2" t="n">
        <v>352431.19</v>
      </c>
      <c r="D261" s="2" t="n">
        <v>5261348.99</v>
      </c>
      <c r="E261" s="2" t="n">
        <v>2203.4</v>
      </c>
      <c r="F261" s="6" t="n">
        <f aca="false">B260</f>
        <v>258</v>
      </c>
      <c r="G261" s="7" t="str">
        <f aca="false">_xlfn.CONCAT("DAV",B261)</f>
        <v>DAV259</v>
      </c>
      <c r="H261" s="6" t="n">
        <f aca="false">SQRT((C261-C260)^2+(D261-D260)^2+(E261-E260)^2)</f>
        <v>1.99499373429978</v>
      </c>
      <c r="I261" s="6" t="n">
        <f aca="false">MOD((2*180*(ATAN((C260-C261)/(D261-D260))*180/PI())/360), 360)</f>
        <v>88.7126710572546</v>
      </c>
      <c r="J261" s="2" t="n">
        <f aca="false">ASIN((E261-E260)/H261)*180/PI()</f>
        <v>26.8161576956566</v>
      </c>
      <c r="L261" s="6" t="n">
        <f aca="false">C261-C260</f>
        <v>-1.77999999996973</v>
      </c>
      <c r="M261" s="6" t="n">
        <f aca="false">D261-D260</f>
        <v>0.0400000000372529</v>
      </c>
      <c r="N261" s="6" t="n">
        <f aca="false">(C261-C260)/(D261-D260)</f>
        <v>-44.4999999577994</v>
      </c>
      <c r="O261" s="12" t="n">
        <f aca="false">ATAN((C261-C260)/(D261-D260))*180/PI()</f>
        <v>-88.7126710572546</v>
      </c>
      <c r="P261" s="6" t="n">
        <f aca="false">IF(M261&lt;0,O261+180,IF(AND(M261&gt;0,L261&lt;0),O261+360,O261))</f>
        <v>271.287328942745</v>
      </c>
      <c r="Q261" s="6" t="n">
        <f aca="false">P261-1.437</f>
        <v>269.850328942745</v>
      </c>
      <c r="S261" s="6" t="n">
        <f aca="false">F261</f>
        <v>258</v>
      </c>
      <c r="T261" s="6" t="str">
        <f aca="false">G261</f>
        <v>DAV259</v>
      </c>
      <c r="U261" s="6" t="n">
        <f aca="false">H261</f>
        <v>1.99499373429978</v>
      </c>
      <c r="V261" s="6" t="n">
        <f aca="false">Q261</f>
        <v>269.850328942745</v>
      </c>
      <c r="W261" s="2" t="n">
        <f aca="false">J261</f>
        <v>26.8161576956566</v>
      </c>
    </row>
    <row r="262" customFormat="false" ht="12.8" hidden="false" customHeight="false" outlineLevel="0" collapsed="false">
      <c r="A262" s="6" t="s">
        <v>5</v>
      </c>
      <c r="B262" s="1" t="n">
        <v>260</v>
      </c>
      <c r="C262" s="2" t="n">
        <v>352428.98</v>
      </c>
      <c r="D262" s="2" t="n">
        <v>5261347.91</v>
      </c>
      <c r="E262" s="2" t="n">
        <v>2205.5</v>
      </c>
      <c r="F262" s="6" t="n">
        <f aca="false">B261</f>
        <v>259</v>
      </c>
      <c r="G262" s="7" t="str">
        <f aca="false">_xlfn.CONCAT("DAV",B262)</f>
        <v>DAV260</v>
      </c>
      <c r="H262" s="6" t="n">
        <f aca="false">SQRT((C262-C261)^2+(D262-D261)^2+(E262-E261)^2)</f>
        <v>3.23426962392642</v>
      </c>
      <c r="I262" s="6" t="n">
        <f aca="false">MOD((2*180*(ATAN((C261-C262)/(D262-D261))*180/PI())/360), 360)</f>
        <v>296.044194803921</v>
      </c>
      <c r="J262" s="2" t="n">
        <f aca="false">ASIN((E262-E261)/H262)*180/PI()</f>
        <v>40.4885832038879</v>
      </c>
      <c r="L262" s="6" t="n">
        <f aca="false">C262-C261</f>
        <v>-2.21000000002095</v>
      </c>
      <c r="M262" s="6" t="n">
        <f aca="false">D262-D261</f>
        <v>-1.08000000007451</v>
      </c>
      <c r="N262" s="6" t="n">
        <f aca="false">(C262-C261)/(D262-D261)</f>
        <v>2.04629629617453</v>
      </c>
      <c r="O262" s="12" t="n">
        <f aca="false">ATAN((C262-C261)/(D262-D261))*180/PI()</f>
        <v>63.955805196079</v>
      </c>
      <c r="P262" s="6" t="n">
        <f aca="false">IF(M262&lt;0,O262+180,IF(AND(M262&gt;0,L262&lt;0),O262+360,O262))</f>
        <v>243.955805196079</v>
      </c>
      <c r="Q262" s="6" t="n">
        <f aca="false">P262-1.437</f>
        <v>242.518805196079</v>
      </c>
      <c r="S262" s="6" t="n">
        <f aca="false">F262</f>
        <v>259</v>
      </c>
      <c r="T262" s="6" t="str">
        <f aca="false">G262</f>
        <v>DAV260</v>
      </c>
      <c r="U262" s="6" t="n">
        <f aca="false">H262</f>
        <v>3.23426962392642</v>
      </c>
      <c r="V262" s="6" t="n">
        <f aca="false">Q262</f>
        <v>242.518805196079</v>
      </c>
      <c r="W262" s="2" t="n">
        <f aca="false">J262</f>
        <v>40.4885832038879</v>
      </c>
    </row>
    <row r="263" customFormat="false" ht="12.8" hidden="false" customHeight="false" outlineLevel="0" collapsed="false">
      <c r="A263" s="6" t="s">
        <v>5</v>
      </c>
      <c r="B263" s="1" t="n">
        <v>261</v>
      </c>
      <c r="C263" s="2" t="n">
        <v>352423.69</v>
      </c>
      <c r="D263" s="2" t="n">
        <v>5261341.61</v>
      </c>
      <c r="E263" s="2" t="n">
        <v>2207.4</v>
      </c>
      <c r="F263" s="6" t="n">
        <f aca="false">B262</f>
        <v>260</v>
      </c>
      <c r="G263" s="7" t="str">
        <f aca="false">_xlfn.CONCAT("DAV",B263)</f>
        <v>DAV261</v>
      </c>
      <c r="H263" s="6" t="n">
        <f aca="false">SQRT((C263-C262)^2+(D263-D262)^2+(E263-E262)^2)</f>
        <v>8.44299117596552</v>
      </c>
      <c r="I263" s="6" t="n">
        <f aca="false">MOD((2*180*(ATAN((C262-C263)/(D263-D262))*180/PI())/360), 360)</f>
        <v>319.980406757183</v>
      </c>
      <c r="J263" s="2" t="n">
        <f aca="false">ASIN((E263-E262)/H263)*180/PI()</f>
        <v>13.0051555547884</v>
      </c>
      <c r="L263" s="6" t="n">
        <f aca="false">C263-C262</f>
        <v>-5.28999999997905</v>
      </c>
      <c r="M263" s="6" t="n">
        <f aca="false">D263-D262</f>
        <v>-6.29999999981374</v>
      </c>
      <c r="N263" s="6" t="n">
        <f aca="false">(C263-C262)/(D263-D262)</f>
        <v>0.839682539704039</v>
      </c>
      <c r="O263" s="12" t="n">
        <f aca="false">ATAN((C263-C262)/(D263-D262))*180/PI()</f>
        <v>40.0195932428174</v>
      </c>
      <c r="P263" s="6" t="n">
        <f aca="false">IF(M263&lt;0,O263+180,IF(AND(M263&gt;0,L263&lt;0),O263+360,O263))</f>
        <v>220.019593242817</v>
      </c>
      <c r="Q263" s="6" t="n">
        <f aca="false">P263-1.437</f>
        <v>218.582593242817</v>
      </c>
      <c r="S263" s="6" t="n">
        <f aca="false">F263</f>
        <v>260</v>
      </c>
      <c r="T263" s="6" t="str">
        <f aca="false">G263</f>
        <v>DAV261</v>
      </c>
      <c r="U263" s="6" t="n">
        <f aca="false">H263</f>
        <v>8.44299117596552</v>
      </c>
      <c r="V263" s="6" t="n">
        <f aca="false">Q263</f>
        <v>218.582593242817</v>
      </c>
      <c r="W263" s="2" t="n">
        <f aca="false">J263</f>
        <v>13.0051555547884</v>
      </c>
    </row>
    <row r="264" customFormat="false" ht="12.8" hidden="false" customHeight="false" outlineLevel="0" collapsed="false">
      <c r="A264" s="6" t="s">
        <v>5</v>
      </c>
      <c r="B264" s="1" t="n">
        <v>262</v>
      </c>
      <c r="C264" s="2" t="n">
        <v>352421.88</v>
      </c>
      <c r="D264" s="2" t="n">
        <v>5261340.59</v>
      </c>
      <c r="E264" s="2" t="n">
        <v>2208.4</v>
      </c>
      <c r="F264" s="6" t="n">
        <f aca="false">B263</f>
        <v>261</v>
      </c>
      <c r="G264" s="7" t="str">
        <f aca="false">_xlfn.CONCAT("DAV",B264)</f>
        <v>DAV262</v>
      </c>
      <c r="H264" s="6" t="n">
        <f aca="false">SQRT((C264-C263)^2+(D264-D263)^2+(E264-E263)^2)</f>
        <v>2.30575367309249</v>
      </c>
      <c r="I264" s="6" t="n">
        <f aca="false">MOD((2*180*(ATAN((C263-C264)/(D264-D263))*180/PI())/360), 360)</f>
        <v>299.40282101725</v>
      </c>
      <c r="J264" s="2" t="n">
        <f aca="false">ASIN((E264-E263)/H264)*180/PI()</f>
        <v>25.7024536338183</v>
      </c>
      <c r="L264" s="6" t="n">
        <f aca="false">C264-C263</f>
        <v>-1.80999999999767</v>
      </c>
      <c r="M264" s="6" t="n">
        <f aca="false">D264-D263</f>
        <v>-1.02000000048429</v>
      </c>
      <c r="N264" s="6" t="n">
        <f aca="false">(C264-C263)/(D264-D263)</f>
        <v>1.77450980307676</v>
      </c>
      <c r="O264" s="12" t="n">
        <f aca="false">ATAN((C264-C263)/(D264-D263))*180/PI()</f>
        <v>60.5971789827496</v>
      </c>
      <c r="P264" s="6" t="n">
        <f aca="false">IF(M264&lt;0,O264+180,IF(AND(M264&gt;0,L264&lt;0),O264+360,O264))</f>
        <v>240.59717898275</v>
      </c>
      <c r="Q264" s="6" t="n">
        <f aca="false">P264-1.437</f>
        <v>239.16017898275</v>
      </c>
      <c r="S264" s="6" t="n">
        <f aca="false">F264</f>
        <v>261</v>
      </c>
      <c r="T264" s="6" t="str">
        <f aca="false">G264</f>
        <v>DAV262</v>
      </c>
      <c r="U264" s="6" t="n">
        <f aca="false">H264</f>
        <v>2.30575367309249</v>
      </c>
      <c r="V264" s="6" t="n">
        <f aca="false">Q264</f>
        <v>239.16017898275</v>
      </c>
      <c r="W264" s="2" t="n">
        <f aca="false">J264</f>
        <v>25.7024536338183</v>
      </c>
    </row>
    <row r="265" customFormat="false" ht="12.8" hidden="false" customHeight="false" outlineLevel="0" collapsed="false">
      <c r="A265" s="6" t="s">
        <v>5</v>
      </c>
      <c r="B265" s="1" t="n">
        <v>263</v>
      </c>
      <c r="C265" s="2" t="n">
        <v>352416.92</v>
      </c>
      <c r="D265" s="2" t="n">
        <v>5261340.56</v>
      </c>
      <c r="E265" s="2" t="n">
        <v>2209.2</v>
      </c>
      <c r="F265" s="6" t="n">
        <f aca="false">B264</f>
        <v>262</v>
      </c>
      <c r="G265" s="7" t="str">
        <f aca="false">_xlfn.CONCAT("DAV",B265)</f>
        <v>DAV263</v>
      </c>
      <c r="H265" s="6" t="n">
        <f aca="false">SQRT((C265-C264)^2+(D265-D264)^2+(E265-E264)^2)</f>
        <v>5.02419147726508</v>
      </c>
      <c r="I265" s="6" t="n">
        <f aca="false">MOD((2*180*(ATAN((C264-C265)/(D265-D264))*180/PI())/360), 360)</f>
        <v>270.346542830701</v>
      </c>
      <c r="J265" s="2" t="n">
        <f aca="false">ASIN((E265-E264)/H265)*180/PI()</f>
        <v>9.16218229968403</v>
      </c>
      <c r="L265" s="6" t="n">
        <f aca="false">C265-C264</f>
        <v>-4.96000000002096</v>
      </c>
      <c r="M265" s="6" t="n">
        <f aca="false">D265-D264</f>
        <v>-0.0300000002607703</v>
      </c>
      <c r="N265" s="6" t="n">
        <f aca="false">(C265-C264)/(D265-D264)</f>
        <v>165.333331896898</v>
      </c>
      <c r="O265" s="12" t="n">
        <f aca="false">ATAN((C265-C264)/(D265-D264))*180/PI()</f>
        <v>89.6534571692987</v>
      </c>
      <c r="P265" s="6" t="n">
        <f aca="false">IF(M265&lt;0,O265+180,IF(AND(M265&gt;0,L265&lt;0),O265+360,O265))</f>
        <v>269.653457169299</v>
      </c>
      <c r="Q265" s="6" t="n">
        <f aca="false">P265-1.437</f>
        <v>268.216457169299</v>
      </c>
      <c r="S265" s="6" t="n">
        <f aca="false">F265</f>
        <v>262</v>
      </c>
      <c r="T265" s="6" t="str">
        <f aca="false">G265</f>
        <v>DAV263</v>
      </c>
      <c r="U265" s="6" t="n">
        <f aca="false">H265</f>
        <v>5.02419147726508</v>
      </c>
      <c r="V265" s="6" t="n">
        <f aca="false">Q265</f>
        <v>268.216457169299</v>
      </c>
      <c r="W265" s="2" t="n">
        <f aca="false">J265</f>
        <v>9.16218229968403</v>
      </c>
    </row>
    <row r="266" customFormat="false" ht="12.8" hidden="false" customHeight="false" outlineLevel="0" collapsed="false">
      <c r="A266" s="6" t="s">
        <v>5</v>
      </c>
      <c r="B266" s="1" t="n">
        <v>264</v>
      </c>
      <c r="C266" s="2" t="n">
        <v>352406.48</v>
      </c>
      <c r="D266" s="2" t="n">
        <v>5261340.72</v>
      </c>
      <c r="E266" s="2" t="n">
        <v>2211.5</v>
      </c>
      <c r="F266" s="6" t="n">
        <f aca="false">B265</f>
        <v>263</v>
      </c>
      <c r="G266" s="7" t="str">
        <f aca="false">_xlfn.CONCAT("DAV",B266)</f>
        <v>DAV264</v>
      </c>
      <c r="H266" s="6" t="n">
        <f aca="false">SQRT((C266-C265)^2+(D266-D265)^2+(E266-E265)^2)</f>
        <v>10.691548063779</v>
      </c>
      <c r="I266" s="6" t="n">
        <f aca="false">MOD((2*180*(ATAN((C265-C266)/(D266-D265))*180/PI())/360), 360)</f>
        <v>89.1219724997097</v>
      </c>
      <c r="J266" s="2" t="n">
        <f aca="false">ASIN((E266-E265)/H266)*180/PI()</f>
        <v>12.4227550979847</v>
      </c>
      <c r="L266" s="6" t="n">
        <f aca="false">C266-C265</f>
        <v>-10.4400000000023</v>
      </c>
      <c r="M266" s="6" t="n">
        <f aca="false">D266-D265</f>
        <v>0.160000000149012</v>
      </c>
      <c r="N266" s="6" t="n">
        <f aca="false">(C266-C265)/(D266-D265)</f>
        <v>-65.2499999392458</v>
      </c>
      <c r="O266" s="12" t="n">
        <f aca="false">ATAN((C266-C265)/(D266-D265))*180/PI()</f>
        <v>-89.1219724997097</v>
      </c>
      <c r="P266" s="6" t="n">
        <f aca="false">IF(M266&lt;0,O266+180,IF(AND(M266&gt;0,L266&lt;0),O266+360,O266))</f>
        <v>270.87802750029</v>
      </c>
      <c r="Q266" s="6" t="n">
        <f aca="false">P266-1.437</f>
        <v>269.44102750029</v>
      </c>
      <c r="S266" s="6" t="n">
        <f aca="false">F266</f>
        <v>263</v>
      </c>
      <c r="T266" s="6" t="str">
        <f aca="false">G266</f>
        <v>DAV264</v>
      </c>
      <c r="U266" s="6" t="n">
        <f aca="false">H266</f>
        <v>10.691548063779</v>
      </c>
      <c r="V266" s="6" t="n">
        <f aca="false">Q266</f>
        <v>269.44102750029</v>
      </c>
      <c r="W266" s="2" t="n">
        <f aca="false">J266</f>
        <v>12.4227550979847</v>
      </c>
    </row>
    <row r="267" customFormat="false" ht="12.8" hidden="false" customHeight="false" outlineLevel="0" collapsed="false">
      <c r="A267" s="6" t="s">
        <v>5</v>
      </c>
      <c r="B267" s="1" t="n">
        <v>265</v>
      </c>
      <c r="C267" s="2" t="n">
        <v>352402.42</v>
      </c>
      <c r="D267" s="2" t="n">
        <v>5261340.02</v>
      </c>
      <c r="E267" s="2" t="n">
        <v>2213.9</v>
      </c>
      <c r="F267" s="6" t="n">
        <f aca="false">B266</f>
        <v>264</v>
      </c>
      <c r="G267" s="7" t="str">
        <f aca="false">_xlfn.CONCAT("DAV",B267)</f>
        <v>DAV265</v>
      </c>
      <c r="H267" s="6" t="n">
        <f aca="false">SQRT((C267-C266)^2+(D267-D266)^2+(E267-E266)^2)</f>
        <v>4.76797651003466</v>
      </c>
      <c r="I267" s="6" t="n">
        <f aca="false">MOD((2*180*(ATAN((C266-C267)/(D267-D266))*180/PI())/360), 360)</f>
        <v>279.782407034366</v>
      </c>
      <c r="J267" s="2" t="n">
        <f aca="false">ASIN((E267-E266)/H267)*180/PI()</f>
        <v>30.2224255207878</v>
      </c>
      <c r="L267" s="6" t="n">
        <f aca="false">C267-C266</f>
        <v>-4.05999999999767</v>
      </c>
      <c r="M267" s="6" t="n">
        <f aca="false">D267-D266</f>
        <v>-0.700000000186265</v>
      </c>
      <c r="N267" s="6" t="n">
        <f aca="false">(C267-C266)/(D267-D266)</f>
        <v>5.79999999845334</v>
      </c>
      <c r="O267" s="12" t="n">
        <f aca="false">ATAN((C267-C266)/(D267-D266))*180/PI()</f>
        <v>80.2175929656345</v>
      </c>
      <c r="P267" s="6" t="n">
        <f aca="false">IF(M267&lt;0,O267+180,IF(AND(M267&gt;0,L267&lt;0),O267+360,O267))</f>
        <v>260.217592965635</v>
      </c>
      <c r="Q267" s="6" t="n">
        <f aca="false">P267-1.437</f>
        <v>258.780592965634</v>
      </c>
      <c r="S267" s="6" t="n">
        <f aca="false">F267</f>
        <v>264</v>
      </c>
      <c r="T267" s="6" t="str">
        <f aca="false">G267</f>
        <v>DAV265</v>
      </c>
      <c r="U267" s="6" t="n">
        <f aca="false">H267</f>
        <v>4.76797651003466</v>
      </c>
      <c r="V267" s="6" t="n">
        <f aca="false">Q267</f>
        <v>258.780592965634</v>
      </c>
      <c r="W267" s="2" t="n">
        <f aca="false">J267</f>
        <v>30.2224255207878</v>
      </c>
    </row>
    <row r="268" customFormat="false" ht="12.8" hidden="false" customHeight="false" outlineLevel="0" collapsed="false">
      <c r="A268" s="6" t="s">
        <v>5</v>
      </c>
      <c r="B268" s="1" t="n">
        <v>266</v>
      </c>
      <c r="C268" s="2" t="n">
        <v>352396.74</v>
      </c>
      <c r="D268" s="2" t="n">
        <v>5261338.37</v>
      </c>
      <c r="E268" s="2" t="n">
        <v>2219.1</v>
      </c>
      <c r="F268" s="6" t="n">
        <f aca="false">B267</f>
        <v>265</v>
      </c>
      <c r="G268" s="7" t="str">
        <f aca="false">_xlfn.CONCAT("DAV",B268)</f>
        <v>DAV266</v>
      </c>
      <c r="H268" s="6" t="n">
        <f aca="false">SQRT((C268-C267)^2+(D268-D267)^2+(E268-E267)^2)</f>
        <v>7.87558886674989</v>
      </c>
      <c r="I268" s="6" t="n">
        <f aca="false">MOD((2*180*(ATAN((C267-C268)/(D268-D267))*180/PI())/360), 360)</f>
        <v>286.198208888266</v>
      </c>
      <c r="J268" s="2" t="n">
        <f aca="false">ASIN((E268-E267)/H268)*180/PI()</f>
        <v>41.3203218825208</v>
      </c>
      <c r="L268" s="6" t="n">
        <f aca="false">C268-C267</f>
        <v>-5.67999999999302</v>
      </c>
      <c r="M268" s="6" t="n">
        <f aca="false">D268-D267</f>
        <v>-1.64999999944121</v>
      </c>
      <c r="N268" s="6" t="n">
        <f aca="false">(C268-C267)/(D268-D267)</f>
        <v>3.44242424358583</v>
      </c>
      <c r="O268" s="12" t="n">
        <f aca="false">ATAN((C268-C267)/(D268-D267))*180/PI()</f>
        <v>73.8017911117345</v>
      </c>
      <c r="P268" s="6" t="n">
        <f aca="false">IF(M268&lt;0,O268+180,IF(AND(M268&gt;0,L268&lt;0),O268+360,O268))</f>
        <v>253.801791111734</v>
      </c>
      <c r="Q268" s="6" t="n">
        <f aca="false">P268-1.437</f>
        <v>252.364791111734</v>
      </c>
      <c r="S268" s="6" t="n">
        <f aca="false">F268</f>
        <v>265</v>
      </c>
      <c r="T268" s="6" t="str">
        <f aca="false">G268</f>
        <v>DAV266</v>
      </c>
      <c r="U268" s="6" t="n">
        <f aca="false">H268</f>
        <v>7.87558886674989</v>
      </c>
      <c r="V268" s="6" t="n">
        <f aca="false">Q268</f>
        <v>252.364791111734</v>
      </c>
      <c r="W268" s="2" t="n">
        <f aca="false">J268</f>
        <v>41.3203218825208</v>
      </c>
    </row>
    <row r="269" customFormat="false" ht="12.8" hidden="false" customHeight="false" outlineLevel="0" collapsed="false">
      <c r="A269" s="6" t="s">
        <v>5</v>
      </c>
      <c r="B269" s="1" t="n">
        <v>267</v>
      </c>
      <c r="C269" s="2" t="n">
        <v>352391.02</v>
      </c>
      <c r="D269" s="2" t="n">
        <v>5261338.91</v>
      </c>
      <c r="E269" s="2" t="n">
        <v>2221.5</v>
      </c>
      <c r="F269" s="6" t="n">
        <f aca="false">B268</f>
        <v>266</v>
      </c>
      <c r="G269" s="7" t="str">
        <f aca="false">_xlfn.CONCAT("DAV",B269)</f>
        <v>DAV267</v>
      </c>
      <c r="H269" s="6" t="n">
        <f aca="false">SQRT((C269-C268)^2+(D269-D268)^2+(E269-E268)^2)</f>
        <v>6.22655603040084</v>
      </c>
      <c r="I269" s="6" t="n">
        <f aca="false">MOD((2*180*(ATAN((C268-C269)/(D269-D268))*180/PI())/360), 360)</f>
        <v>84.6069417033439</v>
      </c>
      <c r="J269" s="2" t="n">
        <f aca="false">ASIN((E269-E268)/H269)*180/PI()</f>
        <v>22.6714201498268</v>
      </c>
      <c r="L269" s="6" t="n">
        <f aca="false">C269-C268</f>
        <v>-5.71999999997206</v>
      </c>
      <c r="M269" s="6" t="n">
        <f aca="false">D269-D268</f>
        <v>0.540000000037253</v>
      </c>
      <c r="N269" s="6" t="n">
        <f aca="false">(C269-C268)/(D269-D268)</f>
        <v>-10.5925925918101</v>
      </c>
      <c r="O269" s="12" t="n">
        <f aca="false">ATAN((C269-C268)/(D269-D268))*180/PI()</f>
        <v>-84.6069417033439</v>
      </c>
      <c r="P269" s="6" t="n">
        <f aca="false">IF(M269&lt;0,O269+180,IF(AND(M269&gt;0,L269&lt;0),O269+360,O269))</f>
        <v>275.393058296656</v>
      </c>
      <c r="Q269" s="6" t="n">
        <f aca="false">P269-1.437</f>
        <v>273.956058296656</v>
      </c>
      <c r="S269" s="6" t="n">
        <f aca="false">F269</f>
        <v>266</v>
      </c>
      <c r="T269" s="6" t="str">
        <f aca="false">G269</f>
        <v>DAV267</v>
      </c>
      <c r="U269" s="6" t="n">
        <f aca="false">H269</f>
        <v>6.22655603040084</v>
      </c>
      <c r="V269" s="6" t="n">
        <f aca="false">Q269</f>
        <v>273.956058296656</v>
      </c>
      <c r="W269" s="2" t="n">
        <f aca="false">J269</f>
        <v>22.6714201498268</v>
      </c>
    </row>
    <row r="270" customFormat="false" ht="12.8" hidden="false" customHeight="false" outlineLevel="0" collapsed="false">
      <c r="A270" s="6" t="s">
        <v>5</v>
      </c>
      <c r="B270" s="1" t="n">
        <v>268</v>
      </c>
      <c r="C270" s="2" t="n">
        <v>352382.41</v>
      </c>
      <c r="D270" s="2" t="n">
        <v>5261341.7</v>
      </c>
      <c r="E270" s="2" t="n">
        <v>2223.4</v>
      </c>
      <c r="F270" s="6" t="n">
        <f aca="false">B269</f>
        <v>267</v>
      </c>
      <c r="G270" s="7" t="str">
        <f aca="false">_xlfn.CONCAT("DAV",B270)</f>
        <v>DAV268</v>
      </c>
      <c r="H270" s="6" t="n">
        <f aca="false">SQRT((C270-C269)^2+(D270-D269)^2+(E270-E269)^2)</f>
        <v>9.24803762973367</v>
      </c>
      <c r="I270" s="6" t="n">
        <f aca="false">MOD((2*180*(ATAN((C269-C270)/(D270-D269))*180/PI())/360), 360)</f>
        <v>72.0455076678681</v>
      </c>
      <c r="J270" s="2" t="n">
        <f aca="false">ASIN((E270-E269)/H270)*180/PI()</f>
        <v>11.85578381292</v>
      </c>
      <c r="L270" s="6" t="n">
        <f aca="false">C270-C269</f>
        <v>-8.61000000004424</v>
      </c>
      <c r="M270" s="6" t="n">
        <f aca="false">D270-D269</f>
        <v>2.79000000003725</v>
      </c>
      <c r="N270" s="6" t="n">
        <f aca="false">(C270-C269)/(D270-D269)</f>
        <v>-3.08602150535099</v>
      </c>
      <c r="O270" s="12" t="n">
        <f aca="false">ATAN((C270-C269)/(D270-D269))*180/PI()</f>
        <v>-72.0455076678681</v>
      </c>
      <c r="P270" s="6" t="n">
        <f aca="false">IF(M270&lt;0,O270+180,IF(AND(M270&gt;0,L270&lt;0),O270+360,O270))</f>
        <v>287.954492332132</v>
      </c>
      <c r="Q270" s="6" t="n">
        <f aca="false">P270-1.437</f>
        <v>286.517492332132</v>
      </c>
      <c r="S270" s="6" t="n">
        <f aca="false">F270</f>
        <v>267</v>
      </c>
      <c r="T270" s="6" t="str">
        <f aca="false">G270</f>
        <v>DAV268</v>
      </c>
      <c r="U270" s="6" t="n">
        <f aca="false">H270</f>
        <v>9.24803762973367</v>
      </c>
      <c r="V270" s="6" t="n">
        <f aca="false">Q270</f>
        <v>286.517492332132</v>
      </c>
      <c r="W270" s="2" t="n">
        <f aca="false">J270</f>
        <v>11.85578381292</v>
      </c>
    </row>
    <row r="271" customFormat="false" ht="12.8" hidden="false" customHeight="false" outlineLevel="0" collapsed="false">
      <c r="A271" s="6" t="s">
        <v>5</v>
      </c>
      <c r="B271" s="1" t="n">
        <v>269</v>
      </c>
      <c r="C271" s="2" t="n">
        <v>352378.67</v>
      </c>
      <c r="D271" s="2" t="n">
        <v>5261342.51</v>
      </c>
      <c r="E271" s="2" t="n">
        <v>2223.1</v>
      </c>
      <c r="F271" s="6" t="n">
        <f aca="false">B270</f>
        <v>268</v>
      </c>
      <c r="G271" s="7" t="str">
        <f aca="false">_xlfn.CONCAT("DAV",B271)</f>
        <v>DAV269</v>
      </c>
      <c r="H271" s="6" t="n">
        <f aca="false">SQRT((C271-C270)^2+(D271-D270)^2+(E271-E270)^2)</f>
        <v>3.83845020799627</v>
      </c>
      <c r="I271" s="6" t="n">
        <f aca="false">MOD((2*180*(ATAN((C270-C271)/(D271-D270))*180/PI())/360), 360)</f>
        <v>77.7797550197025</v>
      </c>
      <c r="J271" s="2" t="n">
        <f aca="false">ASIN((E271-E270)/H271)*180/PI()</f>
        <v>-4.48261162871159</v>
      </c>
      <c r="L271" s="6" t="n">
        <f aca="false">C271-C270</f>
        <v>-3.73999999999069</v>
      </c>
      <c r="M271" s="6" t="n">
        <f aca="false">D271-D270</f>
        <v>0.809999999590218</v>
      </c>
      <c r="N271" s="6" t="n">
        <f aca="false">(C271-C270)/(D271-D270)</f>
        <v>-4.61728395294169</v>
      </c>
      <c r="O271" s="12" t="n">
        <f aca="false">ATAN((C271-C270)/(D271-D270))*180/PI()</f>
        <v>-77.7797550197025</v>
      </c>
      <c r="P271" s="6" t="n">
        <f aca="false">IF(M271&lt;0,O271+180,IF(AND(M271&gt;0,L271&lt;0),O271+360,O271))</f>
        <v>282.220244980298</v>
      </c>
      <c r="Q271" s="6" t="n">
        <f aca="false">P271-1.437</f>
        <v>280.783244980297</v>
      </c>
      <c r="S271" s="6" t="n">
        <f aca="false">F271</f>
        <v>268</v>
      </c>
      <c r="T271" s="6" t="str">
        <f aca="false">G271</f>
        <v>DAV269</v>
      </c>
      <c r="U271" s="6" t="n">
        <f aca="false">H271</f>
        <v>3.83845020799627</v>
      </c>
      <c r="V271" s="6" t="n">
        <f aca="false">Q271</f>
        <v>280.783244980297</v>
      </c>
      <c r="W271" s="2" t="n">
        <f aca="false">J271</f>
        <v>-4.48261162871159</v>
      </c>
    </row>
    <row r="272" customFormat="false" ht="12.8" hidden="false" customHeight="false" outlineLevel="0" collapsed="false">
      <c r="A272" s="6" t="s">
        <v>5</v>
      </c>
      <c r="B272" s="1" t="n">
        <v>270</v>
      </c>
      <c r="C272" s="2" t="n">
        <v>352371.2</v>
      </c>
      <c r="D272" s="2" t="n">
        <v>5261344.24</v>
      </c>
      <c r="E272" s="2" t="n">
        <v>2236.7</v>
      </c>
      <c r="F272" s="6" t="n">
        <f aca="false">B271</f>
        <v>269</v>
      </c>
      <c r="G272" s="7" t="str">
        <f aca="false">_xlfn.CONCAT("DAV",B272)</f>
        <v>DAV270</v>
      </c>
      <c r="H272" s="6" t="n">
        <f aca="false">SQRT((C272-C271)^2+(D272-D271)^2+(E272-E271)^2)</f>
        <v>15.6126166929547</v>
      </c>
      <c r="I272" s="6" t="n">
        <f aca="false">MOD((2*180*(ATAN((C271-C272)/(D272-D271))*180/PI())/360), 360)</f>
        <v>76.9605771302301</v>
      </c>
      <c r="J272" s="2" t="n">
        <f aca="false">ASIN((E272-E271)/H272)*180/PI()</f>
        <v>60.5855954093508</v>
      </c>
      <c r="L272" s="6" t="n">
        <f aca="false">C272-C271</f>
        <v>-7.46999999997206</v>
      </c>
      <c r="M272" s="6" t="n">
        <f aca="false">D272-D271</f>
        <v>1.73000000044703</v>
      </c>
      <c r="N272" s="6" t="n">
        <f aca="false">(C272-C271)/(D272-D271)</f>
        <v>-4.3179190740126</v>
      </c>
      <c r="O272" s="12" t="n">
        <f aca="false">ATAN((C272-C271)/(D272-D271))*180/PI()</f>
        <v>-76.9605771302301</v>
      </c>
      <c r="P272" s="6" t="n">
        <f aca="false">IF(M272&lt;0,O272+180,IF(AND(M272&gt;0,L272&lt;0),O272+360,O272))</f>
        <v>283.03942286977</v>
      </c>
      <c r="Q272" s="6" t="n">
        <f aca="false">P272-1.437</f>
        <v>281.60242286977</v>
      </c>
      <c r="S272" s="6" t="n">
        <f aca="false">F272</f>
        <v>269</v>
      </c>
      <c r="T272" s="6" t="str">
        <f aca="false">G272</f>
        <v>DAV270</v>
      </c>
      <c r="U272" s="6" t="n">
        <f aca="false">H272</f>
        <v>15.6126166929547</v>
      </c>
      <c r="V272" s="6" t="n">
        <f aca="false">Q272</f>
        <v>281.60242286977</v>
      </c>
      <c r="W272" s="2" t="n">
        <f aca="false">J272</f>
        <v>60.5855954093508</v>
      </c>
    </row>
    <row r="273" customFormat="false" ht="12.8" hidden="false" customHeight="false" outlineLevel="0" collapsed="false">
      <c r="A273" s="6" t="s">
        <v>5</v>
      </c>
      <c r="B273" s="1" t="n">
        <v>271</v>
      </c>
      <c r="C273" s="2" t="n">
        <v>352367.88</v>
      </c>
      <c r="D273" s="2" t="n">
        <v>5261345.35</v>
      </c>
      <c r="E273" s="2" t="n">
        <v>2239.7</v>
      </c>
      <c r="F273" s="6" t="n">
        <f aca="false">B272</f>
        <v>270</v>
      </c>
      <c r="G273" s="7" t="str">
        <f aca="false">_xlfn.CONCAT("DAV",B273)</f>
        <v>DAV271</v>
      </c>
      <c r="H273" s="6" t="n">
        <f aca="false">SQRT((C273-C272)^2+(D273-D272)^2+(E273-E272)^2)</f>
        <v>4.61026029620055</v>
      </c>
      <c r="I273" s="6" t="n">
        <f aca="false">MOD((2*180*(ATAN((C272-C273)/(D273-D272))*180/PI())/360), 360)</f>
        <v>71.5132934953745</v>
      </c>
      <c r="J273" s="2" t="n">
        <f aca="false">ASIN((E273-E272)/H273)*180/PI()</f>
        <v>40.5960957212779</v>
      </c>
      <c r="L273" s="6" t="n">
        <f aca="false">C273-C272</f>
        <v>-3.32000000000699</v>
      </c>
      <c r="M273" s="6" t="n">
        <f aca="false">D273-D272</f>
        <v>1.10999999940395</v>
      </c>
      <c r="N273" s="6" t="n">
        <f aca="false">(C273-C272)/(D273-D272)</f>
        <v>-2.99099099260338</v>
      </c>
      <c r="O273" s="12" t="n">
        <f aca="false">ATAN((C273-C272)/(D273-D272))*180/PI()</f>
        <v>-71.5132934953745</v>
      </c>
      <c r="P273" s="6" t="n">
        <f aca="false">IF(M273&lt;0,O273+180,IF(AND(M273&gt;0,L273&lt;0),O273+360,O273))</f>
        <v>288.486706504626</v>
      </c>
      <c r="Q273" s="6" t="n">
        <f aca="false">P273-1.437</f>
        <v>287.049706504626</v>
      </c>
      <c r="S273" s="6" t="n">
        <f aca="false">F273</f>
        <v>270</v>
      </c>
      <c r="T273" s="6" t="str">
        <f aca="false">G273</f>
        <v>DAV271</v>
      </c>
      <c r="U273" s="6" t="n">
        <f aca="false">H273</f>
        <v>4.61026029620055</v>
      </c>
      <c r="V273" s="6" t="n">
        <f aca="false">Q273</f>
        <v>287.049706504626</v>
      </c>
      <c r="W273" s="2" t="n">
        <f aca="false">J273</f>
        <v>40.5960957212779</v>
      </c>
    </row>
    <row r="274" customFormat="false" ht="12.8" hidden="false" customHeight="false" outlineLevel="0" collapsed="false">
      <c r="A274" s="6" t="s">
        <v>5</v>
      </c>
      <c r="B274" s="1" t="n">
        <v>272</v>
      </c>
      <c r="C274" s="2" t="n">
        <v>352365.95</v>
      </c>
      <c r="D274" s="2" t="n">
        <v>5261344.9</v>
      </c>
      <c r="E274" s="2" t="n">
        <v>2240.8</v>
      </c>
      <c r="F274" s="6" t="n">
        <f aca="false">B273</f>
        <v>271</v>
      </c>
      <c r="G274" s="7" t="str">
        <f aca="false">_xlfn.CONCAT("DAV",B274)</f>
        <v>DAV272</v>
      </c>
      <c r="H274" s="6" t="n">
        <f aca="false">SQRT((C274-C273)^2+(D274-D273)^2+(E274-E273)^2)</f>
        <v>2.26658333164772</v>
      </c>
      <c r="I274" s="6" t="n">
        <f aca="false">MOD((2*180*(ATAN((C273-C274)/(D274-D273))*180/PI())/360), 360)</f>
        <v>283.124637227479</v>
      </c>
      <c r="J274" s="2" t="n">
        <f aca="false">ASIN((E274-E273)/H274)*180/PI()</f>
        <v>29.0329132225348</v>
      </c>
      <c r="L274" s="6" t="n">
        <f aca="false">C274-C273</f>
        <v>-1.92999999999302</v>
      </c>
      <c r="M274" s="6" t="n">
        <f aca="false">D274-D273</f>
        <v>-0.449999999254942</v>
      </c>
      <c r="N274" s="6" t="n">
        <f aca="false">(C274-C273)/(D274-D273)</f>
        <v>4.28888889597441</v>
      </c>
      <c r="O274" s="12" t="n">
        <f aca="false">ATAN((C274-C273)/(D274-D273))*180/PI()</f>
        <v>76.8753627725212</v>
      </c>
      <c r="P274" s="6" t="n">
        <f aca="false">IF(M274&lt;0,O274+180,IF(AND(M274&gt;0,L274&lt;0),O274+360,O274))</f>
        <v>256.875362772521</v>
      </c>
      <c r="Q274" s="6" t="n">
        <f aca="false">P274-1.437</f>
        <v>255.438362772521</v>
      </c>
      <c r="S274" s="6" t="n">
        <f aca="false">F274</f>
        <v>271</v>
      </c>
      <c r="T274" s="6" t="str">
        <f aca="false">G274</f>
        <v>DAV272</v>
      </c>
      <c r="U274" s="6" t="n">
        <f aca="false">H274</f>
        <v>2.26658333164772</v>
      </c>
      <c r="V274" s="6" t="n">
        <f aca="false">Q274</f>
        <v>255.438362772521</v>
      </c>
      <c r="W274" s="2" t="n">
        <f aca="false">J274</f>
        <v>29.0329132225348</v>
      </c>
    </row>
    <row r="275" customFormat="false" ht="12.8" hidden="false" customHeight="false" outlineLevel="0" collapsed="false">
      <c r="A275" s="6" t="s">
        <v>5</v>
      </c>
      <c r="B275" s="1" t="n">
        <v>273</v>
      </c>
      <c r="C275" s="2" t="n">
        <v>352363.73</v>
      </c>
      <c r="D275" s="2" t="n">
        <v>5261343.22</v>
      </c>
      <c r="E275" s="2" t="n">
        <v>2239.7</v>
      </c>
      <c r="F275" s="6" t="n">
        <f aca="false">B274</f>
        <v>272</v>
      </c>
      <c r="G275" s="7" t="str">
        <f aca="false">_xlfn.CONCAT("DAV",B275)</f>
        <v>DAV273</v>
      </c>
      <c r="H275" s="6" t="n">
        <f aca="false">SQRT((C275-C274)^2+(D275-D274)^2+(E275-E274)^2)</f>
        <v>2.99345953743542</v>
      </c>
      <c r="I275" s="6" t="n">
        <f aca="false">MOD((2*180*(ATAN((C274-C275)/(D275-D274))*180/PI())/360), 360)</f>
        <v>307.116860693287</v>
      </c>
      <c r="J275" s="2" t="n">
        <f aca="false">ASIN((E275-E274)/H275)*180/PI()</f>
        <v>-21.5595346615961</v>
      </c>
      <c r="L275" s="6" t="n">
        <f aca="false">C275-C274</f>
        <v>-2.22000000003027</v>
      </c>
      <c r="M275" s="6" t="n">
        <f aca="false">D275-D274</f>
        <v>-1.6800000006333</v>
      </c>
      <c r="N275" s="6" t="n">
        <f aca="false">(C275-C274)/(D275-D274)</f>
        <v>1.32142857094846</v>
      </c>
      <c r="O275" s="12" t="n">
        <f aca="false">ATAN((C275-C274)/(D275-D274))*180/PI()</f>
        <v>52.8831393067127</v>
      </c>
      <c r="P275" s="6" t="n">
        <f aca="false">IF(M275&lt;0,O275+180,IF(AND(M275&gt;0,L275&lt;0),O275+360,O275))</f>
        <v>232.883139306713</v>
      </c>
      <c r="Q275" s="6" t="n">
        <f aca="false">P275-1.437</f>
        <v>231.446139306713</v>
      </c>
      <c r="S275" s="6" t="n">
        <f aca="false">F275</f>
        <v>272</v>
      </c>
      <c r="T275" s="6" t="str">
        <f aca="false">G275</f>
        <v>DAV273</v>
      </c>
      <c r="U275" s="6" t="n">
        <f aca="false">H275</f>
        <v>2.99345953743542</v>
      </c>
      <c r="V275" s="6" t="n">
        <f aca="false">Q275</f>
        <v>231.446139306713</v>
      </c>
      <c r="W275" s="2" t="n">
        <f aca="false">J275</f>
        <v>-21.5595346615961</v>
      </c>
    </row>
    <row r="276" customFormat="false" ht="12.8" hidden="false" customHeight="false" outlineLevel="0" collapsed="false">
      <c r="A276" s="6" t="s">
        <v>5</v>
      </c>
      <c r="B276" s="1" t="n">
        <v>274</v>
      </c>
      <c r="C276" s="2" t="n">
        <v>352361.56</v>
      </c>
      <c r="D276" s="2" t="n">
        <v>5261340.42</v>
      </c>
      <c r="E276" s="2" t="n">
        <v>2235.8</v>
      </c>
      <c r="F276" s="6" t="n">
        <f aca="false">B275</f>
        <v>273</v>
      </c>
      <c r="G276" s="7" t="str">
        <f aca="false">_xlfn.CONCAT("DAV",B276)</f>
        <v>DAV274</v>
      </c>
      <c r="H276" s="6" t="n">
        <f aca="false">SQRT((C276-C275)^2+(D276-D275)^2+(E276-E275)^2)</f>
        <v>5.26867155921522</v>
      </c>
      <c r="I276" s="6" t="n">
        <f aca="false">MOD((2*180*(ATAN((C275-C276)/(D276-D275))*180/PI())/360), 360)</f>
        <v>322.224315692408</v>
      </c>
      <c r="J276" s="2" t="n">
        <f aca="false">ASIN((E276-E275)/H276)*180/PI()</f>
        <v>-47.7505467475245</v>
      </c>
      <c r="L276" s="6" t="n">
        <f aca="false">C276-C275</f>
        <v>-2.1699999999837</v>
      </c>
      <c r="M276" s="6" t="n">
        <f aca="false">D276-D275</f>
        <v>-2.79999999981374</v>
      </c>
      <c r="N276" s="6" t="n">
        <f aca="false">(C276-C275)/(D276-D275)</f>
        <v>0.775000000045735</v>
      </c>
      <c r="O276" s="12" t="n">
        <f aca="false">ATAN((C276-C275)/(D276-D275))*180/PI()</f>
        <v>37.7756843075918</v>
      </c>
      <c r="P276" s="6" t="n">
        <f aca="false">IF(M276&lt;0,O276+180,IF(AND(M276&gt;0,L276&lt;0),O276+360,O276))</f>
        <v>217.775684307592</v>
      </c>
      <c r="Q276" s="6" t="n">
        <f aca="false">P276-1.437</f>
        <v>216.338684307592</v>
      </c>
      <c r="S276" s="6" t="n">
        <f aca="false">F276</f>
        <v>273</v>
      </c>
      <c r="T276" s="6" t="str">
        <f aca="false">G276</f>
        <v>DAV274</v>
      </c>
      <c r="U276" s="6" t="n">
        <f aca="false">H276</f>
        <v>5.26867155921522</v>
      </c>
      <c r="V276" s="6" t="n">
        <f aca="false">Q276</f>
        <v>216.338684307592</v>
      </c>
      <c r="W276" s="2" t="n">
        <f aca="false">J276</f>
        <v>-47.7505467475245</v>
      </c>
    </row>
    <row r="277" customFormat="false" ht="12.8" hidden="false" customHeight="false" outlineLevel="0" collapsed="false">
      <c r="A277" s="6" t="s">
        <v>5</v>
      </c>
      <c r="B277" s="1" t="n">
        <v>275</v>
      </c>
      <c r="C277" s="2" t="n">
        <v>352358.28</v>
      </c>
      <c r="D277" s="2" t="n">
        <v>5261337.45</v>
      </c>
      <c r="E277" s="2" t="n">
        <v>2242.6</v>
      </c>
      <c r="F277" s="6" t="n">
        <f aca="false">B276</f>
        <v>274</v>
      </c>
      <c r="G277" s="7" t="str">
        <f aca="false">_xlfn.CONCAT("DAV",B277)</f>
        <v>DAV275</v>
      </c>
      <c r="H277" s="6" t="n">
        <f aca="false">SQRT((C277-C276)^2+(D277-D276)^2+(E277-E276)^2)</f>
        <v>8.1129094656756</v>
      </c>
      <c r="I277" s="6" t="n">
        <f aca="false">MOD((2*180*(ATAN((C276-C277)/(D277-D276))*180/PI())/360), 360)</f>
        <v>312.160456385435</v>
      </c>
      <c r="J277" s="2" t="n">
        <f aca="false">ASIN((E277-E276)/H277)*180/PI()</f>
        <v>56.9474122962973</v>
      </c>
      <c r="L277" s="6" t="n">
        <f aca="false">C277-C276</f>
        <v>-3.27999999996973</v>
      </c>
      <c r="M277" s="6" t="n">
        <f aca="false">D277-D276</f>
        <v>-2.96999999973923</v>
      </c>
      <c r="N277" s="6" t="n">
        <f aca="false">(C277-C276)/(D277-D276)</f>
        <v>1.10437710446388</v>
      </c>
      <c r="O277" s="12" t="n">
        <f aca="false">ATAN((C277-C276)/(D277-D276))*180/PI()</f>
        <v>47.8395436145649</v>
      </c>
      <c r="P277" s="6" t="n">
        <f aca="false">IF(M277&lt;0,O277+180,IF(AND(M277&gt;0,L277&lt;0),O277+360,O277))</f>
        <v>227.839543614565</v>
      </c>
      <c r="Q277" s="6" t="n">
        <f aca="false">P277-1.437</f>
        <v>226.402543614565</v>
      </c>
      <c r="S277" s="6" t="n">
        <f aca="false">F277</f>
        <v>274</v>
      </c>
      <c r="T277" s="6" t="str">
        <f aca="false">G277</f>
        <v>DAV275</v>
      </c>
      <c r="U277" s="6" t="n">
        <f aca="false">H277</f>
        <v>8.1129094656756</v>
      </c>
      <c r="V277" s="6" t="n">
        <f aca="false">Q277</f>
        <v>226.402543614565</v>
      </c>
      <c r="W277" s="2" t="n">
        <f aca="false">J277</f>
        <v>56.9474122962973</v>
      </c>
    </row>
    <row r="278" customFormat="false" ht="12.8" hidden="false" customHeight="false" outlineLevel="0" collapsed="false">
      <c r="A278" s="6" t="s">
        <v>5</v>
      </c>
      <c r="B278" s="1" t="n">
        <v>276</v>
      </c>
      <c r="C278" s="2" t="n">
        <v>352354.21</v>
      </c>
      <c r="D278" s="2" t="n">
        <v>5261335.19</v>
      </c>
      <c r="E278" s="2" t="n">
        <v>2248.5</v>
      </c>
      <c r="F278" s="6" t="n">
        <f aca="false">B277</f>
        <v>275</v>
      </c>
      <c r="G278" s="7" t="str">
        <f aca="false">_xlfn.CONCAT("DAV",B278)</f>
        <v>DAV276</v>
      </c>
      <c r="H278" s="6" t="n">
        <f aca="false">SQRT((C278-C277)^2+(D278-D277)^2+(E278-E277)^2)</f>
        <v>7.51548401628582</v>
      </c>
      <c r="I278" s="6" t="n">
        <f aca="false">MOD((2*180*(ATAN((C277-C278)/(D278-D277))*180/PI())/360), 360)</f>
        <v>299.042650043077</v>
      </c>
      <c r="J278" s="2" t="n">
        <f aca="false">ASIN((E278-E277)/H278)*180/PI()</f>
        <v>51.724924714453</v>
      </c>
      <c r="L278" s="6" t="n">
        <f aca="false">C278-C277</f>
        <v>-4.07000000000699</v>
      </c>
      <c r="M278" s="6" t="n">
        <f aca="false">D278-D277</f>
        <v>-2.25999999977648</v>
      </c>
      <c r="N278" s="6" t="n">
        <f aca="false">(C278-C277)/(D278-D277)</f>
        <v>1.80088495593341</v>
      </c>
      <c r="O278" s="12" t="n">
        <f aca="false">ATAN((C278-C277)/(D278-D277))*180/PI()</f>
        <v>60.9573499569231</v>
      </c>
      <c r="P278" s="6" t="n">
        <f aca="false">IF(M278&lt;0,O278+180,IF(AND(M278&gt;0,L278&lt;0),O278+360,O278))</f>
        <v>240.957349956923</v>
      </c>
      <c r="Q278" s="6" t="n">
        <f aca="false">P278-1.437</f>
        <v>239.520349956923</v>
      </c>
      <c r="S278" s="6" t="n">
        <f aca="false">F278</f>
        <v>275</v>
      </c>
      <c r="T278" s="6" t="str">
        <f aca="false">G278</f>
        <v>DAV276</v>
      </c>
      <c r="U278" s="6" t="n">
        <f aca="false">H278</f>
        <v>7.51548401628582</v>
      </c>
      <c r="V278" s="6" t="n">
        <f aca="false">Q278</f>
        <v>239.520349956923</v>
      </c>
      <c r="W278" s="2" t="n">
        <f aca="false">J278</f>
        <v>51.724924714453</v>
      </c>
    </row>
    <row r="279" customFormat="false" ht="12.8" hidden="false" customHeight="false" outlineLevel="0" collapsed="false">
      <c r="A279" s="6" t="s">
        <v>5</v>
      </c>
      <c r="B279" s="1" t="n">
        <v>277</v>
      </c>
      <c r="C279" s="2" t="n">
        <v>352341.41</v>
      </c>
      <c r="D279" s="2" t="n">
        <v>5261335.97</v>
      </c>
      <c r="E279" s="2" t="n">
        <v>2254.1</v>
      </c>
      <c r="F279" s="6" t="n">
        <f aca="false">B278</f>
        <v>276</v>
      </c>
      <c r="G279" s="7" t="str">
        <f aca="false">_xlfn.CONCAT("DAV",B279)</f>
        <v>DAV277</v>
      </c>
      <c r="H279" s="6" t="n">
        <f aca="false">SQRT((C279-C278)^2+(D279-D278)^2+(E279-E278)^2)</f>
        <v>13.9931554697339</v>
      </c>
      <c r="I279" s="6" t="n">
        <f aca="false">MOD((2*180*(ATAN((C278-C279)/(D279-D278))*180/PI())/360), 360)</f>
        <v>86.5128505420852</v>
      </c>
      <c r="J279" s="2" t="n">
        <f aca="false">ASIN((E279-E278)/H279)*180/PI()</f>
        <v>23.5904103016964</v>
      </c>
      <c r="L279" s="6" t="n">
        <f aca="false">C279-C278</f>
        <v>-12.8000000000466</v>
      </c>
      <c r="M279" s="6" t="n">
        <f aca="false">D279-D278</f>
        <v>0.779999999329448</v>
      </c>
      <c r="N279" s="6" t="n">
        <f aca="false">(C279-C278)/(D279-D278)</f>
        <v>-16.4102564244237</v>
      </c>
      <c r="O279" s="12" t="n">
        <f aca="false">ATAN((C279-C278)/(D279-D278))*180/PI()</f>
        <v>-86.5128505420852</v>
      </c>
      <c r="P279" s="6" t="n">
        <f aca="false">IF(M279&lt;0,O279+180,IF(AND(M279&gt;0,L279&lt;0),O279+360,O279))</f>
        <v>273.487149457915</v>
      </c>
      <c r="Q279" s="6" t="n">
        <f aca="false">P279-1.437</f>
        <v>272.050149457915</v>
      </c>
      <c r="S279" s="6" t="n">
        <f aca="false">F279</f>
        <v>276</v>
      </c>
      <c r="T279" s="6" t="str">
        <f aca="false">G279</f>
        <v>DAV277</v>
      </c>
      <c r="U279" s="6" t="n">
        <f aca="false">H279</f>
        <v>13.9931554697339</v>
      </c>
      <c r="V279" s="6" t="n">
        <f aca="false">Q279</f>
        <v>272.050149457915</v>
      </c>
      <c r="W279" s="2" t="n">
        <f aca="false">J279</f>
        <v>23.5904103016964</v>
      </c>
    </row>
    <row r="280" customFormat="false" ht="12.8" hidden="false" customHeight="false" outlineLevel="0" collapsed="false">
      <c r="A280" s="6" t="s">
        <v>5</v>
      </c>
      <c r="B280" s="1" t="n">
        <v>278</v>
      </c>
      <c r="C280" s="2" t="n">
        <v>352331.58</v>
      </c>
      <c r="D280" s="2" t="n">
        <v>5261338.36</v>
      </c>
      <c r="E280" s="2" t="n">
        <v>2259.8</v>
      </c>
      <c r="F280" s="6" t="n">
        <f aca="false">B279</f>
        <v>277</v>
      </c>
      <c r="G280" s="7" t="str">
        <f aca="false">_xlfn.CONCAT("DAV",B280)</f>
        <v>DAV278</v>
      </c>
      <c r="H280" s="6" t="n">
        <f aca="false">SQRT((C280-C279)^2+(D280-D279)^2+(E280-E279)^2)</f>
        <v>11.6116751591675</v>
      </c>
      <c r="I280" s="6" t="n">
        <f aca="false">MOD((2*180*(ATAN((C279-C280)/(D280-D279))*180/PI())/360), 360)</f>
        <v>76.3346422730455</v>
      </c>
      <c r="J280" s="2" t="n">
        <f aca="false">ASIN((E280-E279)/H280)*180/PI()</f>
        <v>29.3987827492412</v>
      </c>
      <c r="L280" s="6" t="n">
        <f aca="false">C280-C279</f>
        <v>-9.82999999995809</v>
      </c>
      <c r="M280" s="6" t="n">
        <f aca="false">D280-D279</f>
        <v>2.39000000059605</v>
      </c>
      <c r="N280" s="6" t="n">
        <f aca="false">(C280-C279)/(D280-D279)</f>
        <v>-4.11297071025379</v>
      </c>
      <c r="O280" s="12" t="n">
        <f aca="false">ATAN((C280-C279)/(D280-D279))*180/PI()</f>
        <v>-76.3346422730455</v>
      </c>
      <c r="P280" s="6" t="n">
        <f aca="false">IF(M280&lt;0,O280+180,IF(AND(M280&gt;0,L280&lt;0),O280+360,O280))</f>
        <v>283.665357726955</v>
      </c>
      <c r="Q280" s="6" t="n">
        <f aca="false">P280-1.437</f>
        <v>282.228357726954</v>
      </c>
      <c r="S280" s="6" t="n">
        <f aca="false">F280</f>
        <v>277</v>
      </c>
      <c r="T280" s="6" t="str">
        <f aca="false">G280</f>
        <v>DAV278</v>
      </c>
      <c r="U280" s="6" t="n">
        <f aca="false">H280</f>
        <v>11.6116751591675</v>
      </c>
      <c r="V280" s="6" t="n">
        <f aca="false">Q280</f>
        <v>282.228357726954</v>
      </c>
      <c r="W280" s="2" t="n">
        <f aca="false">J280</f>
        <v>29.3987827492412</v>
      </c>
    </row>
    <row r="281" customFormat="false" ht="12.8" hidden="false" customHeight="false" outlineLevel="0" collapsed="false">
      <c r="A281" s="6" t="s">
        <v>5</v>
      </c>
      <c r="B281" s="1" t="n">
        <v>279</v>
      </c>
      <c r="C281" s="2" t="n">
        <v>352328.56</v>
      </c>
      <c r="D281" s="2" t="n">
        <v>5261338.42</v>
      </c>
      <c r="E281" s="2" t="n">
        <v>2262.1</v>
      </c>
      <c r="F281" s="6" t="n">
        <f aca="false">B280</f>
        <v>278</v>
      </c>
      <c r="G281" s="7" t="str">
        <f aca="false">_xlfn.CONCAT("DAV",B281)</f>
        <v>DAV279</v>
      </c>
      <c r="H281" s="6" t="n">
        <f aca="false">SQRT((C281-C280)^2+(D281-D280)^2+(E281-E280)^2)</f>
        <v>3.79657740604114</v>
      </c>
      <c r="I281" s="6" t="n">
        <f aca="false">MOD((2*180*(ATAN((C280-C281)/(D281-D280))*180/PI())/360), 360)</f>
        <v>88.8618230002902</v>
      </c>
      <c r="J281" s="2" t="n">
        <f aca="false">ASIN((E281-E280)/H281)*180/PI()</f>
        <v>37.2870649494967</v>
      </c>
      <c r="L281" s="6" t="n">
        <f aca="false">C281-C280</f>
        <v>-3.02000000001863</v>
      </c>
      <c r="M281" s="6" t="n">
        <f aca="false">D281-D280</f>
        <v>0.0599999995902181</v>
      </c>
      <c r="N281" s="6" t="n">
        <f aca="false">(C281-C280)/(D281-D280)</f>
        <v>-50.3333336774053</v>
      </c>
      <c r="O281" s="12" t="n">
        <f aca="false">ATAN((C281-C280)/(D281-D280))*180/PI()</f>
        <v>-88.8618230002902</v>
      </c>
      <c r="P281" s="6" t="n">
        <f aca="false">IF(M281&lt;0,O281+180,IF(AND(M281&gt;0,L281&lt;0),O281+360,O281))</f>
        <v>271.13817699971</v>
      </c>
      <c r="Q281" s="6" t="n">
        <f aca="false">P281-1.437</f>
        <v>269.70117699971</v>
      </c>
      <c r="S281" s="6" t="n">
        <f aca="false">F281</f>
        <v>278</v>
      </c>
      <c r="T281" s="6" t="str">
        <f aca="false">G281</f>
        <v>DAV279</v>
      </c>
      <c r="U281" s="6" t="n">
        <f aca="false">H281</f>
        <v>3.79657740604114</v>
      </c>
      <c r="V281" s="6" t="n">
        <f aca="false">Q281</f>
        <v>269.70117699971</v>
      </c>
      <c r="W281" s="2" t="n">
        <f aca="false">J281</f>
        <v>37.2870649494967</v>
      </c>
    </row>
  </sheetData>
  <mergeCells count="2">
    <mergeCell ref="A1:E1"/>
    <mergeCell ref="S1:W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2025-07-27T19:45:03Z</dcterms:created>
  <dc:creator/>
  <dc:description/>
  <dc:language>pl-PL</dc:language>
  <cp:lastModifiedBy/>
  <dcterms:modified xsi:type="dcterms:W3CDTF">2025-07-28T22:57:57Z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